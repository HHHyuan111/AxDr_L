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d49adf676a4583" /></Relationships>
</file>

<file path=xl/workbook.xml><?xml version="1.0" encoding="utf-8"?>
<x:workbook xmlns:x="http://schemas.openxmlformats.org/spreadsheetml/2006/main">
  <x:sheets>
    <x:sheet xmlns:r="http://schemas.openxmlformats.org/officeDocument/2006/relationships" name="总览" sheetId="1" r:id="Ref1416852a244f6f"/>
    <x:sheet xmlns:r="http://schemas.openxmlformats.org/officeDocument/2006/relationships" name="模块概览" sheetId="2" r:id="R06cbf51d3ea34a3c"/>
    <x:sheet xmlns:r="http://schemas.openxmlformats.org/officeDocument/2006/relationships" name="详细课程目录" sheetId="3" r:id="R15598be3786146cb"/>
    <x:sheet xmlns:r="http://schemas.openxmlformats.org/officeDocument/2006/relationships" name="填写说明" sheetId="4" r:id="R014fd3d0f0764c8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Carlito"/>
    </x:font>
    <x:font>
      <x:sz val="10"/>
      <x:color rgb="FF222222"/>
      <x:name val="Carlito"/>
    </x:font>
    <x:font>
      <x:b/>
      <x:sz val="10"/>
      <x:color rgb="FFFFFFFF"/>
      <x:name val="Carlito"/>
    </x:font>
    <x:font>
      <x:b/>
      <x:sz val="12"/>
      <x:color rgb="FF1F4E78"/>
      <x:name val="Carlito"/>
    </x:font>
    <x:font>
      <x:b/>
      <x:sz val="10"/>
      <x:color rgb="FF222222"/>
      <x:name val="Carlito"/>
    </x:font>
    <x:font>
      <x:b/>
      <x:sz val="11"/>
      <x:color rgb="FF222222"/>
      <x:name val="Carlito"/>
    </x:font>
    <x:font>
      <x:sz val="9"/>
      <x:color rgb="FF222222"/>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4F8FC"/>
      </x:patternFill>
    </x:fill>
    <x:fill>
      <x:patternFill patternType="solid">
        <x:fgColor rgb="FFFFF2CC"/>
      </x:patternFill>
    </x:fill>
  </x:fills>
  <x:borders count="2">
    <x:border/>
    <x:border>
      <x:left style="thin">
        <x:color rgb="FFCCD6E0"/>
      </x:left>
      <x:right style="thin">
        <x:color rgb="FFCCD6E0"/>
      </x:right>
      <x:top style="thin">
        <x:color rgb="FFCCD6E0"/>
      </x:top>
      <x:bottom style="thin">
        <x:color rgb="FFCCD6E0"/>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0" fillId="0" borderId="1" xfId="0" applyNumberFormat="1" applyFont="1" applyFill="1" applyBorder="1"/>
    <x:xf numFmtId="0" fontId="5" fillId="2" borderId="1" xfId="0" applyNumberFormat="1" applyFont="1" applyFill="1" applyBorder="1" applyAlignment="1">
      <x:alignment horizontal="center" vertical="center" wrapText="1"/>
    </x:xf>
    <x:xf numFmtId="0" fontId="6" fillId="0" borderId="1" xfId="0" applyNumberFormat="1" applyFont="1" applyFill="1" applyBorder="1"/>
    <x:xf numFmtId="20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center" wrapText="1"/>
    </x:xf>
  </x:cellXfs>
  <x:cellStyles count="1">
    <x:cellStyle name="Normal" xfId="0"/>
  </x:cellStyles>
  <x:dxfs count="5">
    <x:dxf>
      <x:font>
        <x:b/>
        <x:color rgb="FF385723"/>
      </x:font>
      <x:fill>
        <x:patternFill patternType="solid">
          <x:bgColor rgb="FFE2F0D9"/>
        </x:patternFill>
      </x:fill>
    </x:dxf>
    <x:dxf>
      <x:font>
        <x:color rgb="FF1F4E78"/>
      </x:font>
      <x:fill>
        <x:patternFill patternType="solid">
          <x:bgColor rgb="FFD9EAF7"/>
        </x:patternFill>
      </x:fill>
    </x:dxf>
    <x:dxf>
      <x:font>
        <x:color rgb="FF7F6000"/>
      </x:font>
      <x:fill>
        <x:patternFill patternType="solid">
          <x:bgColor rgb="FFFFF2CC"/>
        </x:patternFill>
      </x:fill>
    </x:dxf>
    <x:dxf>
      <x:font>
        <x:color rgb="FF595959"/>
      </x:font>
      <x:fill>
        <x:patternFill patternType="solid">
          <x:bgColor rgb="FFE7E6E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7365f8462f4ff7" /><Relationship Type="http://schemas.openxmlformats.org/officeDocument/2006/relationships/theme" Target="/xl/theme/theme1.xml" Id="Ra3f9ebeea31b4bb2" /><Relationship Type="http://schemas.openxmlformats.org/officeDocument/2006/relationships/sharedStrings" Target="/xl/sharedStrings.xml" Id="R38f90f7d19904da1" /><Relationship Type="http://schemas.openxmlformats.org/officeDocument/2006/relationships/worksheet" Target="/xl/worksheets/sheet1.xml" Id="Ref1416852a244f6f" /><Relationship Type="http://schemas.openxmlformats.org/officeDocument/2006/relationships/worksheet" Target="/xl/worksheets/sheet2.xml" Id="R06cbf51d3ea34a3c" /><Relationship Type="http://schemas.openxmlformats.org/officeDocument/2006/relationships/worksheet" Target="/xl/worksheets/sheet3.xml" Id="R15598be3786146cb" /><Relationship Type="http://schemas.openxmlformats.org/officeDocument/2006/relationships/worksheet" Target="/xl/worksheets/sheet4.xml" Id="R014fd3d0f0764c84" /></Relationships>
</file>

<file path=xl/tables/table1.xml><?xml version="1.0" encoding="utf-8"?>
<x:table xmlns:x="http://schemas.openxmlformats.org/spreadsheetml/2006/main" id="1" name="ModuleOverviewTable" displayName="ModuleOverviewTable" ref="A1:F28" headerRowCount="1" totalsRowCount="0" totalsRowShown="0">
  <x:autoFilter ref="A1:F28"/>
  <x:tableColumns count="6">
    <x:tableColumn id="1" name="系列"/>
    <x:tableColumn id="2" name="模块"/>
    <x:tableColumn id="3" name="模块名称"/>
    <x:tableColumn id="4" name="目标与意义"/>
    <x:tableColumn id="5" name="完成结果"/>
    <x:tableColumn id="6" name="知识点数"/>
  </x:tableColumns>
  <x:tableStyleInfo name="TableStyleMedium2" showFirstColumn="0" showLastColumn="0" showRowStripes="1" showColumnStripes="0"/>
</x:table>
</file>

<file path=xl/tables/table2.xml><?xml version="1.0" encoding="utf-8"?>
<x:table xmlns:x="http://schemas.openxmlformats.org/spreadsheetml/2006/main" id="2" name="CoursePlanningTable" displayName="CoursePlanningTable" ref="A1:N367" headerRowCount="1" totalsRowCount="0" totalsRowShown="0">
  <x:autoFilter ref="A1:N367"/>
  <x:tableColumns count="14">
    <x:tableColumn id="1" name="课程编号"/>
    <x:tableColumn id="2" name="系列"/>
    <x:tableColumn id="3" name="模块"/>
    <x:tableColumn id="4" name="模块名称"/>
    <x:tableColumn id="5" name="知识点/课程名称"/>
    <x:tableColumn id="6" name="建议责任层级"/>
    <x:tableColumn id="7" name="建议负责人"/>
    <x:tableColumn id="8" name="判断依据"/>
    <x:tableColumn id="9" name="推荐授课形式"/>
    <x:tableColumn id="10" name="所需交付物"/>
    <x:tableColumn id="11" name="开发优先级"/>
    <x:tableColumn id="12" name="当前状态"/>
    <x:tableColumn id="13" name="前置依赖"/>
    <x:tableColumn id="14"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bd30be78f5410d" /></Relationships>
</file>

<file path=xl/worksheets/_rels/sheet3.xml.rels>&#65279;<?xml version="1.0" encoding="utf-8"?><Relationships xmlns="http://schemas.openxmlformats.org/package/2006/relationships"><Relationship Type="http://schemas.openxmlformats.org/officeDocument/2006/relationships/table" Target="/xl/tables/table2.xml" Id="R70424769a35e4186"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3.75" hidden="0" customWidth="1"/>
    <x:col min="3" max="3" width="3.5" hidden="0" customWidth="1"/>
    <x:col min="4" max="4" width="11.880000114440918" hidden="0" customWidth="1"/>
    <x:col min="5" max="5" width="12.5" hidden="0" customWidth="1"/>
    <x:col min="6" max="6" width="14.380000114440918" hidden="0" customWidth="1"/>
    <x:col min="7" max="7" width="13.130000114440918" hidden="0" customWidth="1"/>
    <x:col min="8" max="8" width="13.130000114440918" hidden="0" customWidth="1"/>
  </x:cols>
  <x:sheetData>
    <x:row r="1" ht="31.5" customHeight="1">
      <x:c r="A1" s="4" t="str">
        <x:v>Driver Lab P/Z/M 详细课程目录与负责人分配表</x:v>
      </x:c>
      <x:c r="B1" s="4"/>
      <x:c r="C1" s="4"/>
      <x:c r="D1" s="4"/>
      <x:c r="E1" s="4"/>
      <x:c r="F1" s="4"/>
      <x:c r="G1" s="4"/>
      <x:c r="H1" s="4"/>
    </x:row>
    <x:row r="2" ht="21" customHeight="1">
      <x:c r="A2" s="7" t="str">
        <x:v>V1.0｜内部规划文件｜目录为初版，可根据师资、硬件、试点结果和项目需求持续调整</x:v>
      </x:c>
      <x:c r="B2" s="7"/>
      <x:c r="C2" s="7"/>
      <x:c r="D2" s="7"/>
      <x:c r="E2" s="7"/>
      <x:c r="F2" s="7"/>
      <x:c r="G2" s="7"/>
      <x:c r="H2" s="7"/>
    </x:row>
    <x:row r="4">
      <x:c r="A4" s="23" t="str">
        <x:v>统计项</x:v>
      </x:c>
      <x:c r="B4" s="12" t="str">
        <x:v>数量</x:v>
      </x:c>
      <x:c r="C4" s="22"/>
      <x:c r="D4" s="23" t="str">
        <x:v>系列</x:v>
      </x:c>
      <x:c r="E4" s="12" t="str">
        <x:v>模块数</x:v>
      </x:c>
      <x:c r="F4" s="12" t="str">
        <x:v>知识点数</x:v>
      </x:c>
    </x:row>
    <x:row r="5">
      <x:c r="A5" s="24" t="str">
        <x:v>全部知识点</x:v>
      </x:c>
      <x:c r="B5" s="25" t="n">
        <x:f>COUNTA('详细课程目录'!$A$2:$A$367)</x:f>
        <x:v>366</x:v>
      </x:c>
      <x:c r="C5" s="22"/>
      <x:c r="D5" s="24" t="str">
        <x:v>P</x:v>
      </x:c>
      <x:c r="E5" s="25" t="n">
        <x:v>9</x:v>
      </x:c>
      <x:c r="F5" s="25" t="n">
        <x:f>COUNTIF('详细课程目录'!$B$2:$B$367,"P")</x:f>
        <x:v>108</x:v>
      </x:c>
    </x:row>
    <x:row r="6">
      <x:c r="A6" s="24" t="str">
        <x:v>A｜建议你主讲</x:v>
      </x:c>
      <x:c r="B6" s="25" t="n">
        <x:f>COUNTIF('详细课程目录'!$F$2:$F$367,"A｜建议你主讲")</x:f>
        <x:v>163</x:v>
      </x:c>
      <x:c r="C6" s="22"/>
      <x:c r="D6" s="24" t="str">
        <x:v>Z</x:v>
      </x:c>
      <x:c r="E6" s="25" t="n">
        <x:v>9</x:v>
      </x:c>
      <x:c r="F6" s="25" t="n">
        <x:f>COUNTIF('详细课程目录'!$B$2:$B$367,"Z")</x:f>
        <x:v>128</x:v>
      </x:c>
    </x:row>
    <x:row r="7">
      <x:c r="A7" s="24" t="str">
        <x:v>B｜你主讲，专项老师补充</x:v>
      </x:c>
      <x:c r="B7" s="25" t="n">
        <x:f>COUNTIF('详细课程目录'!$F$2:$F$367,"B｜你主讲，专项老师补充")</x:f>
        <x:v>119</x:v>
      </x:c>
      <x:c r="C7" s="22"/>
      <x:c r="D7" s="24" t="str">
        <x:v>M</x:v>
      </x:c>
      <x:c r="E7" s="25" t="n">
        <x:v>9</x:v>
      </x:c>
      <x:c r="F7" s="25" t="n">
        <x:f>COUNTIF('详细课程目录'!$B$2:$B$367,"M")</x:f>
        <x:v>130</x:v>
      </x:c>
    </x:row>
    <x:row r="8">
      <x:c r="A8" s="24" t="str">
        <x:v>C｜专项老师主讲</x:v>
      </x:c>
      <x:c r="B8" s="25" t="n">
        <x:f>COUNTIF('详细课程目录'!$F$2:$F$367,"C｜专项老师主讲，你负责衔接与验收")</x:f>
        <x:v>49</x:v>
      </x:c>
      <x:c r="C8" s="22"/>
      <x:c r="D8" s="24" t="str">
        <x:v>合计</x:v>
      </x:c>
      <x:c r="E8" s="25" t="n">
        <x:v>27</x:v>
      </x:c>
      <x:c r="F8" s="25" t="n">
        <x:f>SUM(F5:F7)</x:f>
        <x:v>366</x:v>
      </x:c>
    </x:row>
    <x:row r="9">
      <x:c r="A9" s="24" t="str">
        <x:v>D｜助教/AI整理初稿</x:v>
      </x:c>
      <x:c r="B9" s="25" t="n">
        <x:f>COUNTIF('详细课程目录'!$F$2:$F$367,"D｜助教/AI整理初稿，你审核")</x:f>
        <x:v>35</x:v>
      </x:c>
      <x:c r="C9" s="22"/>
      <x:c r="D9" s="22"/>
      <x:c r="E9" s="22"/>
      <x:c r="F9" s="22"/>
    </x:row>
    <x:row r="11">
      <x:c r="A11" s="13" t="str">
        <x:v>怎么使用这张表</x:v>
      </x:c>
      <x:c r="B11" s="13"/>
      <x:c r="C11" s="13"/>
      <x:c r="D11" s="13"/>
      <x:c r="E11" s="13"/>
      <x:c r="F11" s="13"/>
      <x:c r="G11" s="13"/>
      <x:c r="H11" s="13"/>
    </x:row>
    <x:row r="12" ht="30" customHeight="1">
      <x:c r="A12" s="17" t="str">
        <x:v>1</x:v>
      </x:c>
      <x:c r="B12" s="17" t="str">
        <x:v>先在“详细课程目录”中筛选建议责任层级，优先确认 A 类内容是否确实属于你的项目经验和课程主线。</x:v>
      </x:c>
      <x:c r="C12" s="17"/>
      <x:c r="D12" s="17"/>
      <x:c r="E12" s="17"/>
      <x:c r="F12" s="17"/>
      <x:c r="G12" s="17"/>
      <x:c r="H12" s="17"/>
    </x:row>
    <x:row r="13" ht="30" customHeight="1">
      <x:c r="A13" s="17" t="str">
        <x:v>2</x:v>
      </x:c>
      <x:c r="B13" s="17" t="str">
        <x:v>B 类内容由你控制课程逻辑，可邀请真正做过实机的老师补充算法细节、边界和案例。</x:v>
      </x:c>
      <x:c r="C13" s="17"/>
      <x:c r="D13" s="17"/>
      <x:c r="E13" s="17"/>
      <x:c r="F13" s="17"/>
      <x:c r="G13" s="17"/>
      <x:c r="H13" s="17"/>
    </x:row>
    <x:row r="14" ht="30" customHeight="1">
      <x:c r="A14" s="17" t="str">
        <x:v>3</x:v>
      </x:c>
      <x:c r="B14" s="17" t="str">
        <x:v>C 类内容优先寻找专项老师，不要只靠资料拼接；你负责检查它是否能接入统一工程并达到验收标准。</x:v>
      </x:c>
      <x:c r="C14" s="17"/>
      <x:c r="D14" s="17"/>
      <x:c r="E14" s="17"/>
      <x:c r="F14" s="17"/>
      <x:c r="G14" s="17"/>
      <x:c r="H14" s="17"/>
    </x:row>
    <x:row r="15" ht="30" customHeight="1">
      <x:c r="A15" s="17" t="str">
        <x:v>4</x:v>
      </x:c>
      <x:c r="B15" s="17" t="str">
        <x:v>D 类内容可以由助教或 AI 先整理，但正式发布前仍要检查版本、口径、示例和练习是否正确。</x:v>
      </x:c>
      <x:c r="C15" s="17"/>
      <x:c r="D15" s="17"/>
      <x:c r="E15" s="17"/>
      <x:c r="F15" s="17"/>
      <x:c r="G15" s="17"/>
      <x:c r="H15" s="17"/>
    </x:row>
    <x:row r="17" ht="37.5" customHeight="1">
      <x:c r="A17" s="21" t="str">
        <x:v>当前建议只用于第一次分工。真正确定负责人时，还要核对是否有完整项目、可展示数据、可运行代码和可复现实验；只有理论理解但没有工程证据的内容，不建议独立主讲。</x:v>
      </x:c>
      <x:c r="B17" s="21"/>
      <x:c r="C17" s="21"/>
      <x:c r="D17" s="21"/>
      <x:c r="E17" s="21"/>
      <x:c r="F17" s="21"/>
      <x:c r="G17" s="21"/>
      <x:c r="H17" s="21"/>
    </x:row>
  </x:sheetData>
  <x:mergeCells>
    <x:mergeCell ref="A1:H1"/>
    <x:mergeCell ref="A2:H2"/>
    <x:mergeCell ref="A11:H11"/>
    <x:mergeCell ref="B12:H12"/>
    <x:mergeCell ref="B13:H13"/>
    <x:mergeCell ref="B14:H14"/>
    <x:mergeCell ref="B15:H15"/>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8.75" hidden="0" customWidth="1"/>
    <x:col min="3" max="3" width="27.5" hidden="0" customWidth="1"/>
    <x:col min="4" max="4" width="52.5" hidden="0" customWidth="1"/>
    <x:col min="5" max="5" width="52.5" hidden="0" customWidth="1"/>
    <x:col min="6" max="6" width="10" hidden="0" customWidth="1"/>
  </x:cols>
  <x:sheetData>
    <x:row r="1" ht="25.5" customHeight="1">
      <x:c r="A1" s="12" t="str">
        <x:v>系列</x:v>
      </x:c>
      <x:c r="B1" s="12" t="str">
        <x:v>模块</x:v>
      </x:c>
      <x:c r="C1" s="12" t="str">
        <x:v>模块名称</x:v>
      </x:c>
      <x:c r="D1" s="12" t="str">
        <x:v>目标与意义</x:v>
      </x:c>
      <x:c r="E1" s="12" t="str">
        <x:v>完成结果</x:v>
      </x:c>
      <x:c r="F1" s="12" t="str">
        <x:v>知识点数</x:v>
      </x:c>
    </x:row>
    <x:row r="2" ht="43.5" customHeight="1">
      <x:c r="A2" s="28" t="str">
        <x:v>P</x:v>
      </x:c>
      <x:c r="B2" s="28" t="str">
        <x:v>P0</x:v>
      </x:c>
      <x:c r="C2" s="28" t="str">
        <x:v>基础诊断与个人补课路线</x:v>
      </x:c>
      <x:c r="D2" s="28" t="str">
        <x:v>确认个人方向、现有基础和学习条件，判断哪些模块可以直接通过、哪些内容需要补齐，并形成进入 Z 系列前的个人学习计划。</x:v>
      </x:c>
      <x:c r="E2" s="28" t="str">
        <x:v>得到一份与个人目标和现有能力匹配的补课清单，明确 P1—P7 哪些需要完整学习、哪些只需复习、哪些可以直接验收，并确定进入 P8 综合项目和 Z 系列的条件。</x:v>
      </x:c>
      <x:c r="F2" s="28" t="n">
        <x:v>8</x:v>
      </x:c>
    </x:row>
    <x:row r="3" ht="43.5" customHeight="1">
      <x:c r="A3" s="28" t="str">
        <x:v>P</x:v>
      </x:c>
      <x:c r="B3" s="28" t="str">
        <x:v>P1</x:v>
      </x:c>
      <x:c r="C3" s="28" t="str">
        <x:v>电脑环境、开源资料与工程文件管理</x:v>
      </x:c>
      <x:c r="D3" s="28" t="str">
        <x:v>能够独立安装和使用常见开发工具，找到并判断开源软硬件资料，保存自己的修改，并建立清晰可复现的本地工程目录。</x:v>
      </x:c>
      <x:c r="E3" s="28" t="str">
        <x:v>能够获取、运行、修改和保存一个开源工程，知道开源软件与硬件资料分别包含什么，并能在另一台电脑或新目录中重新建立开发环境。</x:v>
      </x:c>
      <x:c r="F3" s="28" t="n">
        <x:v>10</x:v>
      </x:c>
    </x:row>
    <x:row r="4" ht="43.5" customHeight="1">
      <x:c r="A4" s="28" t="str">
        <x:v>P</x:v>
      </x:c>
      <x:c r="B4" s="28" t="str">
        <x:v>P2</x:v>
      </x:c>
      <x:c r="C4" s="28" t="str">
        <x:v>基础电子电路、原理图与嘉立创硬件实践</x:v>
      </x:c>
      <x:c r="D4" s="28" t="str">
        <x:v>掌握阅读控制板原理图所需的基础电路知识，能够使用嘉立创 EDA 完成一块简单板卡的原理图、PCB 和生产文件，并理解开源硬件复现时需要核对的内容。</x:v>
      </x:c>
      <x:c r="E4" s="28" t="str">
        <x:v>能够读懂常见控制板功能分区，使用数据手册检查基础电路，并独立完成一块简单接口板或传感器板的原理图、PCB、生产文件和打样准备。</x:v>
      </x:c>
      <x:c r="F4" s="28" t="n">
        <x:v>14</x:v>
      </x:c>
    </x:row>
    <x:row r="5" ht="43.5" customHeight="1">
      <x:c r="A5" s="28" t="str">
        <x:v>P</x:v>
      </x:c>
      <x:c r="B5" s="28" t="str">
        <x:v>P3</x:v>
      </x:c>
      <x:c r="C5" s="28" t="str">
        <x:v>常用仪器、调试接口、线材、焊接与实验安全</x:v>
      </x:c>
      <x:c r="D5" s="28" t="str">
        <x:v>能够正确选择和使用基础仪器、下载调试器、通信接口、连接器和线材，完成简单装配与测量，并避免常见接线、探头和上电风险。</x:v>
      </x:c>
      <x:c r="E5" s="28" t="str">
        <x:v>能够完成开发板和简单板卡的接线、下载、通信、焊接、上电与基础测量，知道不同接口和线材的电气差异，并能在测量前识别短路、接地和功率风险。</x:v>
      </x:c>
      <x:c r="F5" s="28" t="n">
        <x:v>12</x:v>
      </x:c>
    </x:row>
    <x:row r="6" ht="43.5" customHeight="1">
      <x:c r="A6" s="28" t="str">
        <x:v>P</x:v>
      </x:c>
      <x:c r="B6" s="28" t="str">
        <x:v>P4</x:v>
      </x:c>
      <x:c r="C6" s="28" t="str">
        <x:v>面向电机控制工程的 C 语言基础</x:v>
      </x:c>
      <x:c r="D6" s="28" t="str">
        <x:v>掌握阅读和编写嵌入式控制程序所需的 C 语言知识，能够组织参数、状态和算法模块，并避免常见的类型、内存和数值错误。</x:v>
      </x:c>
      <x:c r="E6" s="28" t="str">
        <x:v>能够阅读常见 MCU 工程，独立编写结构清晰的计算模块和状态程序，并通过调试器或简单测试发现类型、指针、数组、共享数据和数值计算问题。</x:v>
      </x:c>
      <x:c r="F6" s="28" t="n">
        <x:v>12</x:v>
      </x:c>
    </x:row>
    <x:row r="7" ht="43.5" customHeight="1">
      <x:c r="A7" s="28" t="str">
        <x:v>P</x:v>
      </x:c>
      <x:c r="B7" s="28" t="str">
        <x:v>P5</x:v>
      </x:c>
      <x:c r="C7" s="28" t="str">
        <x:v>MCU、基础外设与实时程序入门</x:v>
      </x:c>
      <x:c r="D7" s="28" t="str">
        <x:v>理解 MCU 程序怎样由时钟、定时器、ADC、中断、DMA 和通信外设共同运行，能够配置并验证后续电机控制必需的基础外设。</x:v>
      </x:c>
      <x:c r="E7" s="28" t="str">
        <x:v>能够配置和测量 GPIO、定时器、PWM、ADC、DMA 与通信外设，理解硬件事件和周期程序的关系，并能用示波器证明程序是否按预期频率和顺序运行。</x:v>
      </x:c>
      <x:c r="F7" s="28" t="n">
        <x:v>12</x:v>
      </x:c>
    </x:row>
    <x:row r="8" ht="43.5" customHeight="1">
      <x:c r="A8" s="28" t="str">
        <x:v>P</x:v>
      </x:c>
      <x:c r="B8" s="28" t="str">
        <x:v>P6</x:v>
      </x:c>
      <x:c r="C8" s="28" t="str">
        <x:v>PMSM、逆变器、采样与位置传感器基础</x:v>
      </x:c>
      <x:c r="D8" s="28" t="str">
        <x:v>建立对电机结构、电磁转矩、三相逆变器、电流采样和位置反馈的基本认识，理解后续 FOC 中每个输入量和输出量来自哪里。</x:v>
      </x:c>
      <x:c r="E8" s="28" t="str">
        <x:v>能够看懂一套 PMSM 驱动系统的电能、运动和反馈关系，知道 PWM 怎样形成电机电压、ADC 怎样得到相电流、位置传感器怎样提供角度，以及保护为什么必须独立存在。</x:v>
      </x:c>
      <x:c r="F8" s="28" t="n">
        <x:v>12</x:v>
      </x:c>
    </x:row>
    <x:row r="9" ht="43.5" customHeight="1">
      <x:c r="A9" s="28" t="str">
        <x:v>P</x:v>
      </x:c>
      <x:c r="B9" s="28" t="str">
        <x:v>P7</x:v>
      </x:c>
      <x:c r="C9" s="28" t="str">
        <x:v>电机控制需要的数学、控制与信号基础</x:v>
      </x:c>
      <x:c r="D9" s="28" t="str">
        <x:v>掌握理解坐标变换、PI、离散程序、采样、滤波和速度处理所需的最低数学与控制知识，能够用波形和数据判断一个基础闭环是否正常。</x:v>
      </x:c>
      <x:c r="E9" s="28" t="str">
        <x:v>能够理解后续 FOC 使用的单位、向量、坐标、离散计算和 PI 控制，能从阶跃、噪声、饱和和频谱中提取基本信息，并知道滤波、采样与控制速度之间的取舍。</x:v>
      </x:c>
      <x:c r="F9" s="28" t="n">
        <x:v>16</x:v>
      </x:c>
    </x:row>
    <x:row r="10" ht="43.5" customHeight="1">
      <x:c r="A10" s="28" t="str">
        <x:v>P</x:v>
      </x:c>
      <x:c r="B10" s="28" t="str">
        <x:v>P8</x:v>
      </x:c>
      <x:c r="C10" s="28" t="str">
        <x:v>综合基础项目、调试方法与 Z 系列准入</x:v>
      </x:c>
      <x:c r="D10" s="28" t="str">
        <x:v>将 P1—P7 的工具、硬件、编程、MCU、电机和控制基础合并到一个低风险综合项目中，通过实际操作证明自己已经具备进入 Z 系列的条件。</x:v>
      </x:c>
      <x:c r="E10" s="28" t="str">
        <x:v>能够独立完成一个基础 MCU 控制工程的资料整理、硬件检查、程序配置、信号采集、通信、状态处理、测量和问题定位，并留下其他人可以复现的代码、数据和实验记录。</x:v>
      </x:c>
      <x:c r="F10" s="28" t="n">
        <x:v>12</x:v>
      </x:c>
    </x:row>
    <x:row r="11" ht="43.5" customHeight="1">
      <x:c r="A11" s="28" t="str">
        <x:v>Z</x:v>
      </x:c>
      <x:c r="B11" s="28" t="str">
        <x:v>Z0</x:v>
      </x:c>
      <x:c r="C11" s="28" t="str">
        <x:v>电机控制工程认知与完整系统入门</x:v>
      </x:c>
      <x:c r="D11" s="28" t="str">
        <x:v>建立对岗位、产品、项目流程、电控系统和技术路线的完整认识，明确电机为什么能转、控制器在控制什么，以及后续每个模块为什么按照当前顺序开展。</x:v>
      </x:c>
      <x:c r="E11" s="28" t="str">
        <x:v>能够看懂一个完整电控项目，知道能量和信号怎样流动、各岗位在做什么、各项技术解决什么问题，并理解后续课程为何必须从硬件、数据和运行机制逐步进入闭环控制。</x:v>
      </x:c>
      <x:c r="F11" s="28" t="n">
        <x:v>12</x:v>
      </x:c>
    </x:row>
    <x:row r="12" ht="43.5" customHeight="1">
      <x:c r="A12" s="28" t="str">
        <x:v>Z</x:v>
      </x:c>
      <x:c r="B12" s="28" t="str">
        <x:v>Z1</x:v>
      </x:c>
      <x:c r="C12" s="28" t="str">
        <x:v>硬件底层配置与板级验证</x:v>
      </x:c>
      <x:c r="D12" s="28" t="str">
        <x:v>完成控制板所有基础硬件资源的配置和独立验证，确认供电、发波、采样、传感器、通信和硬件保护均具备进入控制算法开发的条件。</x:v>
      </x:c>
      <x:c r="E12" s="28" t="str">
        <x:v>PWM、ADC、传感器、通信和硬件保护均能够独立稳定工作，关键频率、极性、死区、采样点和故障关断均有对应波形或原始数据作为验证证据。</x:v>
      </x:c>
      <x:c r="F12" s="28" t="n">
        <x:v>12</x:v>
      </x:c>
    </x:row>
    <x:row r="13" ht="43.5" customHeight="1">
      <x:c r="A13" s="28" t="str">
        <x:v>Z</x:v>
      </x:c>
      <x:c r="B13" s="28" t="str">
        <x:v>Z2</x:v>
      </x:c>
      <x:c r="C13" s="28" t="str">
        <x:v>信号处理、标定与统一数据接口</x:v>
      </x:c>
      <x:c r="D13" s="28" t="str">
        <x:v>将 Z1 验证过的原始硬件信号转换为上层控制算法可直接使用的可信物理量，建立统一的单位、方向、范围、时间与有效性定义。</x:v>
      </x:c>
      <x:c r="E13" s="28" t="str">
        <x:v>控制算法不再直接访问底层寄存器，而只使用经过标定、单位统一、方向正确、时间明确且带有效状态的控制数据；任何异常反馈都能够定位到模拟前端、ADC、软件换算或上层接口中的具体环节。</x:v>
      </x:c>
      <x:c r="F13" s="28" t="n">
        <x:v>12</x:v>
      </x:c>
    </x:row>
    <x:row r="14" ht="43.5" customHeight="1">
      <x:c r="A14" s="28" t="str">
        <x:v>Z</x:v>
      </x:c>
      <x:c r="B14" s="28" t="str">
        <x:v>Z3</x:v>
      </x:c>
      <x:c r="C14" s="28" t="str">
        <x:v>完整控制程序框架、运行机制与基础功能</x:v>
      </x:c>
      <x:c r="D14" s="28" t="str">
        <x:v>在 Z1、Z2 基础上建立后续所有算法共用的软件分层、数据结构、任务安排、参数管理、状态流程和基础保护，并先让命令、状态、输出和诊断完整运行起来。</x:v>
      </x:c>
      <x:c r="E14" s="28" t="str">
        <x:v>得到一套能够编译、运行、切换状态、限制输出、响应故障并记录诊断的正式控制程序框架。FOC、有感和无感算法的位置、接口与运行周期已经固定，后续只填充内部实现，不再反复调整整体结构。</x:v>
      </x:c>
      <x:c r="F14" s="28" t="n">
        <x:v>14</x:v>
      </x:c>
    </x:row>
    <x:row r="15" ht="43.5" customHeight="1">
      <x:c r="A15" s="28" t="str">
        <x:v>Z</x:v>
      </x:c>
      <x:c r="B15" s="28" t="str">
        <x:v>Z4</x:v>
      </x:c>
      <x:c r="C15" s="28" t="str">
        <x:v>FOC 核心算法、开环控制与电流闭环</x:v>
      </x:c>
      <x:c r="D15" s="28" t="str">
        <x:v>在 Z3 框架内逐步填入 PMSM 模型、坐标变换、标准 SVPWM、开环角度与电流控制，实现安全开环旋转、稳定 Id/Iq 电流闭环和基础转矩控制。</x:v>
      </x:c>
      <x:c r="E15" s="28" t="str">
        <x:v>完成标准 SVPWM、Alignment、开环正反转、Id/Iq 电流闭环和基础转矩控制；能够从电流、角度、时序、电压饱和和调制链逐层定位开环或电流环问题。</x:v>
      </x:c>
      <x:c r="F15" s="28" t="n">
        <x:v>16</x:v>
      </x:c>
    </x:row>
    <x:row r="16" ht="43.5" customHeight="1">
      <x:c r="A16" s="28" t="str">
        <x:v>Z</x:v>
      </x:c>
      <x:c r="B16" s="28" t="str">
        <x:v>Z5</x:v>
      </x:c>
      <x:c r="C16" s="28" t="str">
        <x:v>编码器、Hall 与有感三闭环控制</x:v>
      </x:c>
      <x:c r="D16" s="28" t="str">
        <x:v>在稳定电流环基础上接入位置反馈，完成角度校准、速度估算、有感速度/位置闭环和基础轨迹控制，形成后续无感算法的真值评价系统。</x:v>
      </x:c>
      <x:c r="E16" s="28" t="str">
        <x:v>完成编码器/Hall 有感 FOC、电流环、速度环、位置环、轨迹规划和基础转矩控制，形成一套可测量、可调试、可用于校验无感角度与速度的完整有感控制系统。</x:v>
      </x:c>
      <x:c r="F16" s="28" t="n">
        <x:v>15</x:v>
      </x:c>
    </x:row>
    <x:row r="17" ht="43.5" customHeight="1">
      <x:c r="A17" s="28" t="str">
        <x:v>Z</x:v>
      </x:c>
      <x:c r="B17" s="28" t="str">
        <x:v>Z6</x:v>
      </x:c>
      <x:c r="C17" s="28" t="str">
        <x:v>参数获取、无感估算、启动与闭环切换</x:v>
      </x:c>
      <x:c r="D17" s="28" t="str">
        <x:v>以 Z5 的编码器结果作为真值，获得标准观测器所需参数，完成预定位、I/F、SMO、PLL、开闭环切换和基础全速域无感运行。</x:v>
      </x:c>
      <x:c r="E17" s="28" t="str">
        <x:v>完成基础参数获取、SMO、PLL、预定位、I/F 启动、Observer 捕获和无感速度闭环，能够借助编码器真值定量评价角度误差、切换冲击、启动成功率和适用边界。</x:v>
      </x:c>
      <x:c r="F17" s="28" t="n">
        <x:v>17</x:v>
      </x:c>
    </x:row>
    <x:row r="18" ht="43.5" customHeight="1">
      <x:c r="A18" s="28" t="str">
        <x:v>Z</x:v>
      </x:c>
      <x:c r="B18" s="28" t="str">
        <x:v>Z7</x:v>
      </x:c>
      <x:c r="C18" s="28" t="str">
        <x:v>状态管理、保护体系与工程调试</x:v>
      </x:c>
      <x:c r="D18" s="28" t="str">
        <x:v>把已经能够运行的有感和无感算法整理成安全、稳定、可诊断、可恢复、可迁移的工程系统，从“能跑”提升到“能够长期使用和定位问题”。</x:v>
      </x:c>
      <x:c r="E18" s="28" t="str">
        <x:v>系统具备完整状态管理、分层保护、故障诊断、数据记录、电机迁移和长时间运行能力；常见故障能够沿固定证据链定位，并保留可复现的参数、代码和测试版本。</x:v>
      </x:c>
      <x:c r="F18" s="28" t="n">
        <x:v>16</x:v>
      </x:c>
    </x:row>
    <x:row r="19" ht="43.5" customHeight="1">
      <x:c r="A19" s="28" t="str">
        <x:v>Z</x:v>
      </x:c>
      <x:c r="B19" s="28" t="str">
        <x:v>Z8</x:v>
      </x:c>
      <x:c r="C19" s="28" t="str">
        <x:v>完整程序仿真、测试与工程闭环</x:v>
      </x:c>
      <x:c r="D19" s="28" t="str">
        <x:v>把 Z1—Z7 的真实控制代码放入统一仿真和测试体系，验证正常、边界与故障工况，形成可测试、可回退、可复现和可发布的正式工程。</x:v>
      </x:c>
      <x:c r="E19" s="28" t="str">
        <x:v>同一套核心控制代码完成 Host、C-SIL、Simulink 和真实硬件验证；每项功能均有测试条件、原始数据、性能指标和失败边界，并形成可以继续进入 M 系列专项优化的统一工程基线。</x:v>
      </x:c>
      <x:c r="F19" s="28" t="n">
        <x:v>14</x:v>
      </x:c>
    </x:row>
    <x:row r="20" ht="43.5" customHeight="1">
      <x:c r="A20" s="28" t="str">
        <x:v>M</x:v>
      </x:c>
      <x:c r="B20" s="28" t="str">
        <x:v>M0</x:v>
      </x:c>
      <x:c r="C20" s="28" t="str">
        <x:v>电控系统测试、频率响应与性能评价</x:v>
      </x:c>
      <x:c r="D20" s="28" t="str">
        <x:v>把“有波形、能运行”提升为“能够用统一测试和量化指标说明性能、边界和问题原因”。</x:v>
      </x:c>
      <x:c r="E20" s="28" t="str">
        <x:v>能够设计公平、可重复的测试，并用时域、频域、频谱和鲁棒性结果说明一次优化改善了什么、牺牲了什么以及还能在哪些工况下稳定工作。</x:v>
      </x:c>
      <x:c r="F20" s="28" t="n">
        <x:v>12</x:v>
      </x:c>
    </x:row>
    <x:row r="21" ht="43.5" customHeight="1">
      <x:c r="A21" s="28" t="str">
        <x:v>M</x:v>
      </x:c>
      <x:c r="B21" s="28" t="str">
        <x:v>M1</x:v>
      </x:c>
      <x:c r="C21" s="28" t="str">
        <x:v>电机、机械与热参数辨识</x:v>
      </x:c>
      <x:c r="D21" s="28" t="str">
        <x:v>通过可执行、可重复的实验得到控制、仿真、无感和性能优化真正需要的可信参数，并记录参数的工作点、误差和适用范围。</x:v>
      </x:c>
      <x:c r="E21" s="28" t="str">
        <x:v>得到可追溯、带工作点和可信度的电机、机械与热参数，并能够判断这些参数是否足以用于 PI、观测器、MTPA、弱磁和仿真。</x:v>
      </x:c>
      <x:c r="F21" s="28" t="n">
        <x:v>12</x:v>
      </x:c>
    </x:row>
    <x:row r="22" ht="43.5" customHeight="1">
      <x:c r="A22" s="28" t="str">
        <x:v>M</x:v>
      </x:c>
      <x:c r="B22" s="28" t="str">
        <x:v>M2</x:v>
      </x:c>
      <x:c r="C22" s="28" t="str">
        <x:v>低成本采样、高性能无感控制与复杂启动</x:v>
      </x:c>
      <x:c r="D22" s="28" t="str">
        <x:v>在 Z6 基础无感系统上继续解决低成本电流采样、实际电压误差、零低速位置、复杂启动、状态切换、观测质量和全工况鲁棒性问题。</x:v>
      </x:c>
      <x:c r="E22" s="28" t="str">
        <x:v>能够完成低成本电流采样和无感控制的联合设计，用数据说明采样在哪些区域可信、系统从哪里能够启动、何时可以切换、最低能带多大负载、在什么条件下会失锁，以及异常后怎样安全退出或重新接管。</x:v>
      </x:c>
      <x:c r="F22" s="28" t="n">
        <x:v>14</x:v>
      </x:c>
    </x:row>
    <x:row r="23" ht="43.5" customHeight="1">
      <x:c r="A23" s="28" t="str">
        <x:v>M</x:v>
      </x:c>
      <x:c r="B23" s="28" t="str">
        <x:v>M3</x:v>
      </x:c>
      <x:c r="C23" s="28" t="str">
        <x:v>工业伺服控制、反馈优化与振动抑制</x:v>
      </x:c>
      <x:c r="D23" s="28" t="str">
        <x:v>把基础有感三闭环提升为跟随快、定位准、抗扰强、低速稳定且可以系统整定的工业伺服控制系统。</x:v>
      </x:c>
      <x:c r="E23" s="28" t="str">
        <x:v>能够根据反馈质量、对象参数和频率响应系统整定三环，并处理低速、负载变化、共振和定位余振等典型伺服问题。</x:v>
      </x:c>
      <x:c r="F23" s="28" t="n">
        <x:v>14</x:v>
      </x:c>
    </x:row>
    <x:row r="24" ht="43.5" customHeight="1">
      <x:c r="A24" s="28" t="str">
        <x:v>M</x:v>
      </x:c>
      <x:c r="B24" s="28" t="str">
        <x:v>M4</x:v>
      </x:c>
      <x:c r="C24" s="28" t="str">
        <x:v>机器人关节、力矩标定与柔顺交互</x:v>
      </x:c>
      <x:c r="D24" s="28" t="str">
        <x:v>在工业伺服基础上加入减速器、输出端反馈、输出力矩、阻抗、外力和碰撞，使控制对象从电机轴扩展到机器人关节。</x:v>
      </x:c>
      <x:c r="E24" s="28" t="str">
        <x:v>能够把电机电流映射到关节输出力矩，并完成可测量的刚度、阻尼、回驱、外力和碰撞安全控制。</x:v>
      </x:c>
      <x:c r="F24" s="28" t="n">
        <x:v>14</x:v>
      </x:c>
    </x:row>
    <x:row r="25" ht="43.5" customHeight="1">
      <x:c r="A25" s="28" t="str">
        <x:v>M</x:v>
      </x:c>
      <x:c r="B25" s="28" t="str">
        <x:v>M5</x:v>
      </x:c>
      <x:c r="C25" s="28" t="str">
        <x:v>电驱性能边界、效率、噪声与补偿</x:v>
      </x:c>
      <x:c r="D25" s="28" t="str">
        <x:v>在电流、电压、速度、功率和温度约束下，探索电驱系统的实际能力边界，并通过逆变器补偿、调制、高速电流分配、损耗和谐波优化改善性能、效率与噪声。</x:v>
      </x:c>
      <x:c r="E25" s="28" t="str">
        <x:v>能够判断系统受电流、电压、温度还是机械条件限制，并用数据说明死区补偿、调制、MTPA、弱磁、谐波、噪声和损耗优化带来的实际收益与代价。</x:v>
      </x:c>
      <x:c r="F25" s="28" t="n">
        <x:v>14</x:v>
      </x:c>
    </x:row>
    <x:row r="26" ht="43.5" customHeight="1">
      <x:c r="A26" s="28" t="str">
        <x:v>M</x:v>
      </x:c>
      <x:c r="B26" s="28" t="str">
        <x:v>M6</x:v>
      </x:c>
      <x:c r="C26" s="28" t="str">
        <x:v>模型化开发、自动代码生成与虚实对比</x:v>
      </x:c>
      <x:c r="D26" s="28" t="str">
        <x:v>建立生产级控制模型，并证明模型、生成或手写 C、目标 MCU 与真实电机在统一测试条件下的一致性和差异来源。</x:v>
      </x:c>
      <x:c r="E26" s="28" t="str">
        <x:v>能够把控制模型可靠交付为生产代码，并用统一测试证明模型、C代码、目标MCU和实物之间哪些行为一致、哪些差异仍需修正。</x:v>
      </x:c>
      <x:c r="F26" s="28" t="n">
        <x:v>13</x:v>
      </x:c>
    </x:row>
    <x:row r="27" ht="43.5" customHeight="1">
      <x:c r="A27" s="28" t="str">
        <x:v>M</x:v>
      </x:c>
      <x:c r="B27" s="28" t="str">
        <x:v>M7</x:v>
      </x:c>
      <x:c r="C27" s="28" t="str">
        <x:v>电机控制科研方法、算法复现与成果产出</x:v>
      </x:c>
      <x:c r="D27" s="28" t="str">
        <x:v>把真实工程问题转化为可研究、可复现、可验证、可发表并能够回用于工程的研究成果。</x:v>
      </x:c>
      <x:c r="E27" s="28" t="str">
        <x:v>能够完成文献地图、Baseline复现、创新设计、仿真和实物验证、论文写作、投稿返修以及可复现资料交付。</x:v>
      </x:c>
      <x:c r="F27" s="28" t="n">
        <x:v>18</x:v>
      </x:c>
    </x:row>
    <x:row r="28" ht="43.5" customHeight="1">
      <x:c r="A28" s="28" t="str">
        <x:v>M</x:v>
      </x:c>
      <x:c r="B28" s="28" t="str">
        <x:v>M8</x:v>
      </x:c>
      <x:c r="C28" s="28" t="str">
        <x:v>电机控制器硬件、功率级与产品化设计</x:v>
      </x:c>
      <x:c r="D28" s="28" t="str">
        <x:v>从产品需求出发，完成控制核心、功率级、采样、保护、通信、PCB、热、调试、可靠性和量产设计，使算法拥有可信且可重复的硬件基础。</x:v>
      </x:c>
      <x:c r="E28" s="28" t="str">
        <x:v>能够说明一块电机控制器为什么这样设计、实际能力在哪里、故障怎样安全关断，以及怎样从样机推进到可测试、可量产和可维护的硬件产品。</x:v>
      </x:c>
      <x:c r="F28" s="28" t="n">
        <x:v>19</x:v>
      </x:c>
    </x:row>
  </x:sheetData>
  <x:pageMargins left="0.7" right="0.7" top="0.75" bottom="0.75" header="0.3" footer="0.3"/>
  <x:tableParts count="1">
    <x:tablePart xmlns:r="http://schemas.openxmlformats.org/officeDocument/2006/relationships" r:id="R94bd30be78f541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6.25" hidden="0" customWidth="1"/>
    <x:col min="3" max="3" width="8.130000114440918" hidden="0" customWidth="1"/>
    <x:col min="4" max="4" width="23.75" hidden="0" customWidth="1"/>
    <x:col min="5" max="5" width="37.5" hidden="0" customWidth="1"/>
    <x:col min="6" max="6" width="30.6299991607666" hidden="0" customWidth="1"/>
    <x:col min="7" max="7" width="31.25" hidden="0" customWidth="1"/>
    <x:col min="8" max="8" width="42.5" hidden="0" customWidth="1"/>
    <x:col min="9" max="9" width="29.3799991607666" hidden="0" customWidth="1"/>
    <x:col min="10" max="10" width="40" hidden="0" customWidth="1"/>
    <x:col min="11" max="11" width="11.25" hidden="0" customWidth="1"/>
    <x:col min="12" max="12" width="11.880000114440918" hidden="0" customWidth="1"/>
    <x:col min="13" max="13" width="23.75" hidden="0" customWidth="1"/>
    <x:col min="14" max="14" width="23.75" hidden="0" customWidth="1"/>
  </x:cols>
  <x:sheetData>
    <x:row r="1" ht="30" customHeight="1">
      <x:c r="A1" s="12" t="str">
        <x:v>课程编号</x:v>
      </x:c>
      <x:c r="B1" s="12" t="str">
        <x:v>系列</x:v>
      </x:c>
      <x:c r="C1" s="12" t="str">
        <x:v>模块</x:v>
      </x:c>
      <x:c r="D1" s="12" t="str">
        <x:v>模块名称</x:v>
      </x:c>
      <x:c r="E1" s="12" t="str">
        <x:v>知识点/课程名称</x:v>
      </x:c>
      <x:c r="F1" s="12" t="str">
        <x:v>建议责任层级</x:v>
      </x:c>
      <x:c r="G1" s="12" t="str">
        <x:v>建议负责人</x:v>
      </x:c>
      <x:c r="H1" s="12" t="str">
        <x:v>判断依据</x:v>
      </x:c>
      <x:c r="I1" s="12" t="str">
        <x:v>推荐授课形式</x:v>
      </x:c>
      <x:c r="J1" s="12" t="str">
        <x:v>所需交付物</x:v>
      </x:c>
      <x:c r="K1" s="12" t="str">
        <x:v>开发优先级</x:v>
      </x:c>
      <x:c r="L1" s="12" t="str">
        <x:v>当前状态</x:v>
      </x:c>
      <x:c r="M1" s="12" t="str">
        <x:v>前置依赖</x:v>
      </x:c>
      <x:c r="N1" s="12" t="str">
        <x:v>备注</x:v>
      </x:c>
    </x:row>
    <x:row r="2" ht="42" customHeight="1">
      <x:c r="A2" s="31" t="str">
        <x:v>P0.01</x:v>
      </x:c>
      <x:c r="B2" s="31" t="str">
        <x:v>P</x:v>
      </x:c>
      <x:c r="C2" s="31" t="str">
        <x:v>P0</x:v>
      </x:c>
      <x:c r="D2" s="31" t="str">
        <x:v>基础诊断与个人补课路线</x:v>
      </x:c>
      <x:c r="E2" s="31" t="str">
        <x:v>P、Z、M 三个系列的学习关系与进入条件</x:v>
      </x:c>
      <x:c r="F2" s="31" t="str">
        <x:v>A｜建议你主讲</x:v>
      </x:c>
      <x:c r="G2" s="31" t="str">
        <x:v>你主讲</x:v>
      </x:c>
      <x:c r="H2" s="31" t="str">
        <x:v>依赖真实项目决策、波形判断或完整调试经验，适合由课程负责人讲清工程取舍。</x:v>
      </x:c>
      <x:c r="I2" s="31" t="str">
        <x:v>原理讲解＋工程案例＋检查题</x:v>
      </x:c>
      <x:c r="J2" s="31" t="str">
        <x:v>讲稿、课件、示例、作业与答案</x:v>
      </x:c>
      <x:c r="K2" s="31" t="str">
        <x:v>核心</x:v>
      </x:c>
      <x:c r="L2" s="31" t="str">
        <x:v>待确认</x:v>
      </x:c>
      <x:c r="M2" s="31" t="str">
        <x:v>无</x:v>
      </x:c>
      <x:c r="N2" s="31" t="str"/>
    </x:row>
    <x:row r="3" ht="42" customHeight="1">
      <x:c r="A3" s="31" t="str">
        <x:v>P0.02</x:v>
      </x:c>
      <x:c r="B3" s="31" t="str">
        <x:v>P</x:v>
      </x:c>
      <x:c r="C3" s="31" t="str">
        <x:v>P0</x:v>
      </x:c>
      <x:c r="D3" s="31" t="str">
        <x:v>基础诊断与个人补课路线</x:v>
      </x:c>
      <x:c r="E3" s="31" t="str">
        <x:v>个人岗位方向、学习目标、可投入时间与现有基础确认</x:v>
      </x:c>
      <x:c r="F3" s="31" t="str">
        <x:v>A｜建议你主讲</x:v>
      </x:c>
      <x:c r="G3" s="31" t="str">
        <x:v>你主讲</x:v>
      </x:c>
      <x:c r="H3" s="31" t="str">
        <x:v>依赖真实项目决策、波形判断或完整调试经验，适合由课程负责人讲清工程取舍。</x:v>
      </x:c>
      <x:c r="I3" s="31" t="str">
        <x:v>原理讲解＋工程案例＋检查题</x:v>
      </x:c>
      <x:c r="J3" s="31" t="str">
        <x:v>讲稿、课件、示例、作业与答案</x:v>
      </x:c>
      <x:c r="K3" s="31" t="str">
        <x:v>核心</x:v>
      </x:c>
      <x:c r="L3" s="31" t="str">
        <x:v>待确认</x:v>
      </x:c>
      <x:c r="M3" s="31" t="str">
        <x:v>无</x:v>
      </x:c>
      <x:c r="N3" s="31" t="str"/>
    </x:row>
    <x:row r="4" ht="42" customHeight="1">
      <x:c r="A4" s="31" t="str">
        <x:v>P0.03</x:v>
      </x:c>
      <x:c r="B4" s="31" t="str">
        <x:v>P</x:v>
      </x:c>
      <x:c r="C4" s="31" t="str">
        <x:v>P0</x:v>
      </x:c>
      <x:c r="D4" s="31" t="str">
        <x:v>基础诊断与个人补课路线</x:v>
      </x:c>
      <x:c r="E4" s="31" t="str">
        <x:v>电脑环境、开发工具、Git 与开源资料使用能力诊断</x:v>
      </x:c>
      <x:c r="F4" s="31" t="str">
        <x:v>D｜助教/AI整理初稿，你审核</x:v>
      </x:c>
      <x:c r="G4" s="31" t="str">
        <x:v>助教/AI整理初稿，你审核</x:v>
      </x:c>
      <x:c r="H4" s="31" t="str">
        <x:v>以基础工具和标准知识为主，可先整理标准化材料，再由课程负责人检查口径和示例。</x:v>
      </x:c>
      <x:c r="I4" s="31" t="str">
        <x:v>原理讲解＋工程案例＋检查题</x:v>
      </x:c>
      <x:c r="J4" s="31" t="str">
        <x:v>讲稿、课件、示例、作业与答案</x:v>
      </x:c>
      <x:c r="K4" s="31" t="str">
        <x:v>核心</x:v>
      </x:c>
      <x:c r="L4" s="31" t="str">
        <x:v>待确认</x:v>
      </x:c>
      <x:c r="M4" s="31" t="str">
        <x:v>无</x:v>
      </x:c>
      <x:c r="N4" s="31" t="str"/>
    </x:row>
    <x:row r="5" ht="42" customHeight="1">
      <x:c r="A5" s="31" t="str">
        <x:v>P0.04</x:v>
      </x:c>
      <x:c r="B5" s="31" t="str">
        <x:v>P</x:v>
      </x:c>
      <x:c r="C5" s="31" t="str">
        <x:v>P0</x:v>
      </x:c>
      <x:c r="D5" s="31" t="str">
        <x:v>基础诊断与个人补课路线</x:v>
      </x:c>
      <x:c r="E5" s="31" t="str">
        <x:v>电子电路、原理图、仪器、接口、焊接与安全能力诊断</x:v>
      </x:c>
      <x:c r="F5" s="31" t="str">
        <x:v>A｜建议你主讲</x:v>
      </x:c>
      <x:c r="G5" s="31" t="str">
        <x:v>你主讲</x:v>
      </x:c>
      <x:c r="H5" s="31" t="str">
        <x:v>依赖真实项目决策、波形判断或完整调试经验，适合由课程负责人讲清工程取舍。</x:v>
      </x:c>
      <x:c r="I5" s="31" t="str">
        <x:v>原理图/计算＋板级测试</x:v>
      </x:c>
      <x:c r="J5" s="31" t="str">
        <x:v>讲稿、原理图/计算、板级测试记录、检查清单</x:v>
      </x:c>
      <x:c r="K5" s="31" t="str">
        <x:v>核心</x:v>
      </x:c>
      <x:c r="L5" s="31" t="str">
        <x:v>待确认</x:v>
      </x:c>
      <x:c r="M5" s="31" t="str">
        <x:v>无</x:v>
      </x:c>
      <x:c r="N5" s="31" t="str"/>
    </x:row>
    <x:row r="6" ht="42" customHeight="1">
      <x:c r="A6" s="31" t="str">
        <x:v>P0.05</x:v>
      </x:c>
      <x:c r="B6" s="31" t="str">
        <x:v>P</x:v>
      </x:c>
      <x:c r="C6" s="31" t="str">
        <x:v>P0</x:v>
      </x:c>
      <x:c r="D6" s="31" t="str">
        <x:v>基础诊断与个人补课路线</x:v>
      </x:c>
      <x:c r="E6" s="31" t="str">
        <x:v>C 语言、代码阅读、程序调试与问题定位能力诊断</x:v>
      </x:c>
      <x:c r="F6" s="31" t="str">
        <x:v>A｜建议你主讲</x:v>
      </x:c>
      <x:c r="G6" s="31" t="str">
        <x:v>你主讲</x:v>
      </x:c>
      <x:c r="H6" s="31" t="str">
        <x:v>依赖真实项目决策、波形判断或完整调试经验，适合由课程负责人讲清工程取舍。</x:v>
      </x:c>
      <x:c r="I6" s="31" t="str">
        <x:v>方法讲解＋实测数据＋问题复盘</x:v>
      </x:c>
      <x:c r="J6" s="31" t="str">
        <x:v>讲稿、实验步骤、原始数据、处理脚本、结果说明</x:v>
      </x:c>
      <x:c r="K6" s="31" t="str">
        <x:v>核心</x:v>
      </x:c>
      <x:c r="L6" s="31" t="str">
        <x:v>待确认</x:v>
      </x:c>
      <x:c r="M6" s="31" t="str">
        <x:v>无</x:v>
      </x:c>
      <x:c r="N6" s="31" t="str"/>
    </x:row>
    <x:row r="7" ht="42" customHeight="1">
      <x:c r="A7" s="31" t="str">
        <x:v>P0.06</x:v>
      </x:c>
      <x:c r="B7" s="31" t="str">
        <x:v>P</x:v>
      </x:c>
      <x:c r="C7" s="31" t="str">
        <x:v>P0</x:v>
      </x:c>
      <x:c r="D7" s="31" t="str">
        <x:v>基础诊断与个人补课路线</x:v>
      </x:c>
      <x:c r="E7" s="31" t="str">
        <x:v>MCU、GPIO、定时器、ADC、DMA 与通信基础诊断</x:v>
      </x:c>
      <x:c r="F7" s="31" t="str">
        <x:v>A｜建议你主讲</x:v>
      </x:c>
      <x:c r="G7" s="31" t="str">
        <x:v>你主讲</x:v>
      </x:c>
      <x:c r="H7" s="31" t="str">
        <x:v>依赖真实项目决策、波形判断或完整调试经验，适合由课程负责人讲清工程取舍。</x:v>
      </x:c>
      <x:c r="I7" s="31" t="str">
        <x:v>原理图/计算＋板级测试</x:v>
      </x:c>
      <x:c r="J7" s="31" t="str">
        <x:v>讲稿、可运行代码、配置说明、最小测试</x:v>
      </x:c>
      <x:c r="K7" s="31" t="str">
        <x:v>核心</x:v>
      </x:c>
      <x:c r="L7" s="31" t="str">
        <x:v>待确认</x:v>
      </x:c>
      <x:c r="M7" s="31" t="str">
        <x:v>无</x:v>
      </x:c>
      <x:c r="N7" s="31" t="str"/>
    </x:row>
    <x:row r="8" ht="42" customHeight="1">
      <x:c r="A8" s="31" t="str">
        <x:v>P0.07</x:v>
      </x:c>
      <x:c r="B8" s="31" t="str">
        <x:v>P</x:v>
      </x:c>
      <x:c r="C8" s="31" t="str">
        <x:v>P0</x:v>
      </x:c>
      <x:c r="D8" s="31" t="str">
        <x:v>基础诊断与个人补课路线</x:v>
      </x:c>
      <x:c r="E8" s="31" t="str">
        <x:v>电机、数学、PI、采样、滤波与实验数据基础诊断</x:v>
      </x:c>
      <x:c r="F8" s="31" t="str">
        <x:v>A｜建议你主讲</x:v>
      </x:c>
      <x:c r="G8" s="31" t="str">
        <x:v>你主讲</x:v>
      </x:c>
      <x:c r="H8" s="31" t="str">
        <x:v>依赖真实项目决策、波形判断或完整调试经验，适合由课程负责人讲清工程取舍。</x:v>
      </x:c>
      <x:c r="I8" s="31" t="str">
        <x:v>方法讲解＋实测数据＋问题复盘</x:v>
      </x:c>
      <x:c r="J8" s="31" t="str">
        <x:v>讲稿、实验步骤、原始数据、处理脚本、结果说明</x:v>
      </x:c>
      <x:c r="K8" s="31" t="str">
        <x:v>核心</x:v>
      </x:c>
      <x:c r="L8" s="31" t="str">
        <x:v>待确认</x:v>
      </x:c>
      <x:c r="M8" s="31" t="str">
        <x:v>无</x:v>
      </x:c>
      <x:c r="N8" s="31" t="str"/>
    </x:row>
    <x:row r="9" ht="42" customHeight="1">
      <x:c r="A9" s="31" t="str">
        <x:v>P0.08</x:v>
      </x:c>
      <x:c r="B9" s="31" t="str">
        <x:v>P</x:v>
      </x:c>
      <x:c r="C9" s="31" t="str">
        <x:v>P0</x:v>
      </x:c>
      <x:c r="D9" s="31" t="str">
        <x:v>基础诊断与个人补课路线</x:v>
      </x:c>
      <x:c r="E9" s="31" t="str">
        <x:v>生成个人补课模块、可跳过内容、验收任务与 Z 系列准入计划</x:v>
      </x:c>
      <x:c r="F9" s="31" t="str">
        <x:v>A｜建议你主讲</x:v>
      </x:c>
      <x:c r="G9" s="31" t="str">
        <x:v>你主讲</x:v>
      </x:c>
      <x:c r="H9" s="31" t="str">
        <x:v>依赖真实项目决策、波形判断或完整调试经验，适合由课程负责人讲清工程取舍。</x:v>
      </x:c>
      <x:c r="I9" s="31" t="str">
        <x:v>原理讲解＋工程案例＋检查题</x:v>
      </x:c>
      <x:c r="J9" s="31" t="str">
        <x:v>讲稿、课件、示例、作业与答案</x:v>
      </x:c>
      <x:c r="K9" s="31" t="str">
        <x:v>核心</x:v>
      </x:c>
      <x:c r="L9" s="31" t="str">
        <x:v>待确认</x:v>
      </x:c>
      <x:c r="M9" s="31" t="str">
        <x:v>无</x:v>
      </x:c>
      <x:c r="N9" s="31" t="str"/>
    </x:row>
    <x:row r="10" ht="42" customHeight="1">
      <x:c r="A10" s="31" t="str">
        <x:v>P1.01</x:v>
      </x:c>
      <x:c r="B10" s="31" t="str">
        <x:v>P</x:v>
      </x:c>
      <x:c r="C10" s="31" t="str">
        <x:v>P1</x:v>
      </x:c>
      <x:c r="D10" s="31" t="str">
        <x:v>电脑环境、开源资料与工程文件管理</x:v>
      </x:c>
      <x:c r="E10" s="31" t="str">
        <x:v>Windows 文件、路径、扩展名、压缩包、环境变量与命令行基础</x:v>
      </x:c>
      <x:c r="F10" s="31" t="str">
        <x:v>D｜助教/AI整理初稿，你审核</x:v>
      </x:c>
      <x:c r="G10" s="31" t="str">
        <x:v>助教/AI整理初稿，你审核</x:v>
      </x:c>
      <x:c r="H10" s="31" t="str">
        <x:v>以基础工具和标准知识为主，可先整理标准化材料，再由课程负责人检查口径和示例。</x:v>
      </x:c>
      <x:c r="I10" s="31" t="str">
        <x:v>原理讲解＋工程案例＋检查题</x:v>
      </x:c>
      <x:c r="J10" s="31" t="str">
        <x:v>讲稿、课件、示例、作业与答案</x:v>
      </x:c>
      <x:c r="K10" s="31" t="str">
        <x:v>按需</x:v>
      </x:c>
      <x:c r="L10" s="31" t="str">
        <x:v>待确认</x:v>
      </x:c>
      <x:c r="M10" s="31" t="str">
        <x:v>参考所属系列前序模块</x:v>
      </x:c>
      <x:c r="N10" s="31" t="str"/>
    </x:row>
    <x:row r="11" ht="42" customHeight="1">
      <x:c r="A11" s="31" t="str">
        <x:v>P1.02</x:v>
      </x:c>
      <x:c r="B11" s="31" t="str">
        <x:v>P</x:v>
      </x:c>
      <x:c r="C11" s="31" t="str">
        <x:v>P1</x:v>
      </x:c>
      <x:c r="D11" s="31" t="str">
        <x:v>电脑环境、开源资料与工程文件管理</x:v>
      </x:c>
      <x:c r="E11" s="31" t="str">
        <x:v>STM32CubeMX、Keil、编译器、驱动程序与调试工具安装</x:v>
      </x:c>
      <x:c r="F11" s="31" t="str">
        <x:v>D｜助教/AI整理初稿，你审核</x:v>
      </x:c>
      <x:c r="G11" s="31" t="str">
        <x:v>助教/AI整理初稿，你审核</x:v>
      </x:c>
      <x:c r="H11" s="31" t="str">
        <x:v>以基础工具和标准知识为主，可先整理标准化材料，再由课程负责人检查口径和示例。</x:v>
      </x:c>
      <x:c r="I11" s="31" t="str">
        <x:v>方法讲解＋实测数据＋问题复盘</x:v>
      </x:c>
      <x:c r="J11" s="31" t="str">
        <x:v>讲稿、实验步骤、原始数据、处理脚本、结果说明</x:v>
      </x:c>
      <x:c r="K11" s="31" t="str">
        <x:v>按需</x:v>
      </x:c>
      <x:c r="L11" s="31" t="str">
        <x:v>待确认</x:v>
      </x:c>
      <x:c r="M11" s="31" t="str">
        <x:v>参考所属系列前序模块</x:v>
      </x:c>
      <x:c r="N11" s="31" t="str"/>
    </x:row>
    <x:row r="12" ht="42" customHeight="1">
      <x:c r="A12" s="31" t="str">
        <x:v>P1.03</x:v>
      </x:c>
      <x:c r="B12" s="31" t="str">
        <x:v>P</x:v>
      </x:c>
      <x:c r="C12" s="31" t="str">
        <x:v>P1</x:v>
      </x:c>
      <x:c r="D12" s="31" t="str">
        <x:v>电脑环境、开源资料与工程文件管理</x:v>
      </x:c>
      <x:c r="E12" s="31" t="str">
        <x:v>从创建工程到编译、下载、复位与运行第一个 MCU 程序</x:v>
      </x:c>
      <x:c r="F12" s="31" t="str">
        <x:v>D｜助教/AI整理初稿，你审核</x:v>
      </x:c>
      <x:c r="G12" s="31" t="str">
        <x:v>助教/AI整理初稿，你审核</x:v>
      </x:c>
      <x:c r="H12" s="31" t="str">
        <x:v>以基础工具和标准知识为主，可先整理标准化材料，再由课程负责人检查口径和示例。</x:v>
      </x:c>
      <x:c r="I12" s="31" t="str">
        <x:v>原理＋代码演示＋最小练习</x:v>
      </x:c>
      <x:c r="J12" s="31" t="str">
        <x:v>讲稿、可运行代码、配置说明、最小测试</x:v>
      </x:c>
      <x:c r="K12" s="31" t="str">
        <x:v>按需</x:v>
      </x:c>
      <x:c r="L12" s="31" t="str">
        <x:v>待确认</x:v>
      </x:c>
      <x:c r="M12" s="31" t="str">
        <x:v>参考所属系列前序模块</x:v>
      </x:c>
      <x:c r="N12" s="31" t="str"/>
    </x:row>
    <x:row r="13" ht="42" customHeight="1">
      <x:c r="A13" s="31" t="str">
        <x:v>P1.04</x:v>
      </x:c>
      <x:c r="B13" s="31" t="str">
        <x:v>P</x:v>
      </x:c>
      <x:c r="C13" s="31" t="str">
        <x:v>P1</x:v>
      </x:c>
      <x:c r="D13" s="31" t="str">
        <x:v>电脑环境、开源资料与工程文件管理</x:v>
      </x:c>
      <x:c r="E13" s="31" t="str">
        <x:v>GitHub、Gitee 开源项目中的 README、Docs、Issues 与 Release</x:v>
      </x:c>
      <x:c r="F13" s="31" t="str">
        <x:v>D｜助教/AI整理初稿，你审核</x:v>
      </x:c>
      <x:c r="G13" s="31" t="str">
        <x:v>助教/AI整理初稿，你审核</x:v>
      </x:c>
      <x:c r="H13" s="31" t="str">
        <x:v>以基础工具和标准知识为主，可先整理标准化材料，再由课程负责人检查口径和示例。</x:v>
      </x:c>
      <x:c r="I13" s="31" t="str">
        <x:v>原理讲解＋工程案例＋检查题</x:v>
      </x:c>
      <x:c r="J13" s="31" t="str">
        <x:v>讲稿、课件、示例、作业与答案</x:v>
      </x:c>
      <x:c r="K13" s="31" t="str">
        <x:v>按需</x:v>
      </x:c>
      <x:c r="L13" s="31" t="str">
        <x:v>待确认</x:v>
      </x:c>
      <x:c r="M13" s="31" t="str">
        <x:v>参考所属系列前序模块</x:v>
      </x:c>
      <x:c r="N13" s="31" t="str"/>
    </x:row>
    <x:row r="14" ht="42" customHeight="1">
      <x:c r="A14" s="31" t="str">
        <x:v>P1.05</x:v>
      </x:c>
      <x:c r="B14" s="31" t="str">
        <x:v>P</x:v>
      </x:c>
      <x:c r="C14" s="31" t="str">
        <x:v>P1</x:v>
      </x:c>
      <x:c r="D14" s="31" t="str">
        <x:v>电脑环境、开源资料与工程文件管理</x:v>
      </x:c>
      <x:c r="E14" s="31" t="str">
        <x:v>下载发布包、克隆源码、安装依赖与运行开源软件</x:v>
      </x:c>
      <x:c r="F14" s="31" t="str">
        <x:v>D｜助教/AI整理初稿，你审核</x:v>
      </x:c>
      <x:c r="G14" s="31" t="str">
        <x:v>助教/AI整理初稿，你审核</x:v>
      </x:c>
      <x:c r="H14" s="31" t="str">
        <x:v>以基础工具和标准知识为主，可先整理标准化材料，再由课程负责人检查口径和示例。</x:v>
      </x:c>
      <x:c r="I14" s="31" t="str">
        <x:v>原理讲解＋工程案例＋检查题</x:v>
      </x:c>
      <x:c r="J14" s="31" t="str">
        <x:v>讲稿、课件、示例、作业与答案</x:v>
      </x:c>
      <x:c r="K14" s="31" t="str">
        <x:v>按需</x:v>
      </x:c>
      <x:c r="L14" s="31" t="str">
        <x:v>待确认</x:v>
      </x:c>
      <x:c r="M14" s="31" t="str">
        <x:v>参考所属系列前序模块</x:v>
      </x:c>
      <x:c r="N14" s="31" t="str"/>
    </x:row>
    <x:row r="15" ht="42" customHeight="1">
      <x:c r="A15" s="31" t="str">
        <x:v>P1.06</x:v>
      </x:c>
      <x:c r="B15" s="31" t="str">
        <x:v>P</x:v>
      </x:c>
      <x:c r="C15" s="31" t="str">
        <x:v>P1</x:v>
      </x:c>
      <x:c r="D15" s="31" t="str">
        <x:v>电脑环境、开源资料与工程文件管理</x:v>
      </x:c>
      <x:c r="E15" s="31" t="str">
        <x:v>从许可证、维护状态、文档、测试与已知问题判断项目是否可用</x:v>
      </x:c>
      <x:c r="F15" s="31" t="str">
        <x:v>D｜助教/AI整理初稿，你审核</x:v>
      </x:c>
      <x:c r="G15" s="31" t="str">
        <x:v>助教/AI整理初稿，你审核</x:v>
      </x:c>
      <x:c r="H15" s="31" t="str">
        <x:v>以基础工具和标准知识为主，可先整理标准化材料，再由课程负责人检查口径和示例。</x:v>
      </x:c>
      <x:c r="I15" s="31" t="str">
        <x:v>方法讲解＋实测数据＋问题复盘</x:v>
      </x:c>
      <x:c r="J15" s="31" t="str">
        <x:v>讲稿、实验步骤、原始数据、处理脚本、结果说明</x:v>
      </x:c>
      <x:c r="K15" s="31" t="str">
        <x:v>按需</x:v>
      </x:c>
      <x:c r="L15" s="31" t="str">
        <x:v>待确认</x:v>
      </x:c>
      <x:c r="M15" s="31" t="str">
        <x:v>参考所属系列前序模块</x:v>
      </x:c>
      <x:c r="N15" s="31" t="str"/>
    </x:row>
    <x:row r="16" ht="42" customHeight="1">
      <x:c r="A16" s="31" t="str">
        <x:v>P1.07</x:v>
      </x:c>
      <x:c r="B16" s="31" t="str">
        <x:v>P</x:v>
      </x:c>
      <x:c r="C16" s="31" t="str">
        <x:v>P1</x:v>
      </x:c>
      <x:c r="D16" s="31" t="str">
        <x:v>电脑环境、开源资料与工程文件管理</x:v>
      </x:c>
      <x:c r="E16" s="31" t="str">
        <x:v>使用开源硬件的原理图、PCB、BOM、Gerber、固件与参考资料</x:v>
      </x:c>
      <x:c r="F16" s="31" t="str">
        <x:v>C｜专项老师主讲，你负责衔接与验收</x:v>
      </x:c>
      <x:c r="G16" s="31" t="str">
        <x:v>专项老师主讲，你负责课程衔接与验收</x:v>
      </x:c>
      <x:c r="H16" s="31" t="str">
        <x:v>需要较强的专项设计或产品化经验，建议由对应专家主讲，课程负责人负责与主线衔接。</x:v>
      </x:c>
      <x:c r="I16" s="31" t="str">
        <x:v>原理图/计算＋板级测试</x:v>
      </x:c>
      <x:c r="J16" s="31" t="str">
        <x:v>讲稿、原理图/计算、板级测试记录、检查清单</x:v>
      </x:c>
      <x:c r="K16" s="31" t="str">
        <x:v>按需</x:v>
      </x:c>
      <x:c r="L16" s="31" t="str">
        <x:v>待确认</x:v>
      </x:c>
      <x:c r="M16" s="31" t="str">
        <x:v>参考所属系列前序模块</x:v>
      </x:c>
      <x:c r="N16" s="31" t="str"/>
    </x:row>
    <x:row r="17" ht="42" customHeight="1">
      <x:c r="A17" s="31" t="str">
        <x:v>P1.08</x:v>
      </x:c>
      <x:c r="B17" s="31" t="str">
        <x:v>P</x:v>
      </x:c>
      <x:c r="C17" s="31" t="str">
        <x:v>P1</x:v>
      </x:c>
      <x:c r="D17" s="31" t="str">
        <x:v>电脑环境、开源资料与工程文件管理</x:v>
      </x:c>
      <x:c r="E17" s="31" t="str">
        <x:v>Git 工作区、提交、分支、标签、差异、回退与忽略文件</x:v>
      </x:c>
      <x:c r="F17" s="31" t="str">
        <x:v>D｜助教/AI整理初稿，你审核</x:v>
      </x:c>
      <x:c r="G17" s="31" t="str">
        <x:v>助教/AI整理初稿，你审核</x:v>
      </x:c>
      <x:c r="H17" s="31" t="str">
        <x:v>以基础工具和标准知识为主，可先整理标准化材料，再由课程负责人检查口径和示例。</x:v>
      </x:c>
      <x:c r="I17" s="31" t="str">
        <x:v>原理讲解＋工程案例＋检查题</x:v>
      </x:c>
      <x:c r="J17" s="31" t="str">
        <x:v>讲稿、课件、示例、作业与答案</x:v>
      </x:c>
      <x:c r="K17" s="31" t="str">
        <x:v>按需</x:v>
      </x:c>
      <x:c r="L17" s="31" t="str">
        <x:v>待确认</x:v>
      </x:c>
      <x:c r="M17" s="31" t="str">
        <x:v>参考所属系列前序模块</x:v>
      </x:c>
      <x:c r="N17" s="31" t="str"/>
    </x:row>
    <x:row r="18" ht="42" customHeight="1">
      <x:c r="A18" s="31" t="str">
        <x:v>P1.09</x:v>
      </x:c>
      <x:c r="B18" s="31" t="str">
        <x:v>P</x:v>
      </x:c>
      <x:c r="C18" s="31" t="str">
        <x:v>P1</x:v>
      </x:c>
      <x:c r="D18" s="31" t="str">
        <x:v>电脑环境、开源资料与工程文件管理</x:v>
      </x:c>
      <x:c r="E18" s="31" t="str">
        <x:v>MATLAB/Simulink、Python、CSV 与基础波形绘图工具准备</x:v>
      </x:c>
      <x:c r="F18" s="31" t="str">
        <x:v>D｜助教/AI整理初稿，你审核</x:v>
      </x:c>
      <x:c r="G18" s="31" t="str">
        <x:v>助教/AI整理初稿，你审核</x:v>
      </x:c>
      <x:c r="H18" s="31" t="str">
        <x:v>以基础工具和标准知识为主，可先整理标准化材料，再由课程负责人检查口径和示例。</x:v>
      </x:c>
      <x:c r="I18" s="31" t="str">
        <x:v>方法讲解＋实测数据＋问题复盘</x:v>
      </x:c>
      <x:c r="J18" s="31" t="str">
        <x:v>讲稿、课件、示例、作业与答案</x:v>
      </x:c>
      <x:c r="K18" s="31" t="str">
        <x:v>按需</x:v>
      </x:c>
      <x:c r="L18" s="31" t="str">
        <x:v>待确认</x:v>
      </x:c>
      <x:c r="M18" s="31" t="str">
        <x:v>参考所属系列前序模块</x:v>
      </x:c>
      <x:c r="N18" s="31" t="str"/>
    </x:row>
    <x:row r="19" ht="42" customHeight="1">
      <x:c r="A19" s="31" t="str">
        <x:v>P1.10</x:v>
      </x:c>
      <x:c r="B19" s="31" t="str">
        <x:v>P</x:v>
      </x:c>
      <x:c r="C19" s="31" t="str">
        <x:v>P1</x:v>
      </x:c>
      <x:c r="D19" s="31" t="str">
        <x:v>电脑环境、开源资料与工程文件管理</x:v>
      </x:c>
      <x:c r="E19" s="31" t="str">
        <x:v>建立源码、资料、参数、数据、图片、报告与版本的本地目录</x:v>
      </x:c>
      <x:c r="F19" s="31" t="str">
        <x:v>D｜助教/AI整理初稿，你审核</x:v>
      </x:c>
      <x:c r="G19" s="31" t="str">
        <x:v>助教/AI整理初稿，你审核</x:v>
      </x:c>
      <x:c r="H19" s="31" t="str">
        <x:v>以基础工具和标准知识为主，可先整理标准化材料，再由课程负责人检查口径和示例。</x:v>
      </x:c>
      <x:c r="I19" s="31" t="str">
        <x:v>原理讲解＋工程案例＋检查题</x:v>
      </x:c>
      <x:c r="J19" s="31" t="str">
        <x:v>讲稿、课件、示例、作业与答案</x:v>
      </x:c>
      <x:c r="K19" s="31" t="str">
        <x:v>按需</x:v>
      </x:c>
      <x:c r="L19" s="31" t="str">
        <x:v>待确认</x:v>
      </x:c>
      <x:c r="M19" s="31" t="str">
        <x:v>参考所属系列前序模块</x:v>
      </x:c>
      <x:c r="N19" s="31" t="str"/>
    </x:row>
    <x:row r="20" ht="42" customHeight="1">
      <x:c r="A20" s="31" t="str">
        <x:v>P2.01</x:v>
      </x:c>
      <x:c r="B20" s="31" t="str">
        <x:v>P</x:v>
      </x:c>
      <x:c r="C20" s="31" t="str">
        <x:v>P2</x:v>
      </x:c>
      <x:c r="D20" s="31" t="str">
        <x:v>基础电子电路、原理图与嘉立创硬件实践</x:v>
      </x:c>
      <x:c r="E20" s="31" t="str">
        <x:v>电压、电流、电阻、功率、阻抗、参考地与回路基础</x:v>
      </x:c>
      <x:c r="F20" s="31" t="str">
        <x:v>A｜建议你主讲</x:v>
      </x:c>
      <x:c r="G20" s="31" t="str">
        <x:v>你主讲</x:v>
      </x:c>
      <x:c r="H20" s="31" t="str">
        <x:v>依赖真实项目决策、波形判断或完整调试经验，适合由课程负责人讲清工程取舍。</x:v>
      </x:c>
      <x:c r="I20" s="31" t="str">
        <x:v>原理讲解＋工程案例＋检查题</x:v>
      </x:c>
      <x:c r="J20" s="31" t="str">
        <x:v>讲稿、课件、示例、作业与答案</x:v>
      </x:c>
      <x:c r="K20" s="31" t="str">
        <x:v>按需</x:v>
      </x:c>
      <x:c r="L20" s="31" t="str">
        <x:v>待确认</x:v>
      </x:c>
      <x:c r="M20" s="31" t="str">
        <x:v>参考所属系列前序模块</x:v>
      </x:c>
      <x:c r="N20" s="31" t="str"/>
    </x:row>
    <x:row r="21" ht="42" customHeight="1">
      <x:c r="A21" s="31" t="str">
        <x:v>P2.02</x:v>
      </x:c>
      <x:c r="B21" s="31" t="str">
        <x:v>P</x:v>
      </x:c>
      <x:c r="C21" s="31" t="str">
        <x:v>P2</x:v>
      </x:c>
      <x:c r="D21" s="31" t="str">
        <x:v>基础电子电路、原理图与嘉立创硬件实践</x:v>
      </x:c>
      <x:c r="E21" s="31" t="str">
        <x:v>电阻、电容、电感、二极管的参数、额定值与常见作用</x:v>
      </x:c>
      <x:c r="F21" s="31" t="str">
        <x:v>C｜专项老师主讲，你负责衔接与验收</x:v>
      </x:c>
      <x:c r="G21" s="31" t="str">
        <x:v>专项老师主讲，你负责课程衔接与验收</x:v>
      </x:c>
      <x:c r="H21" s="31" t="str">
        <x:v>需要较强的专项设计或产品化经验，建议由对应专家主讲，课程负责人负责与主线衔接。</x:v>
      </x:c>
      <x:c r="I21" s="31" t="str">
        <x:v>原理讲解＋工程案例＋检查题</x:v>
      </x:c>
      <x:c r="J21" s="31" t="str">
        <x:v>讲稿、课件、示例、作业与答案</x:v>
      </x:c>
      <x:c r="K21" s="31" t="str">
        <x:v>按需</x:v>
      </x:c>
      <x:c r="L21" s="31" t="str">
        <x:v>待确认</x:v>
      </x:c>
      <x:c r="M21" s="31" t="str">
        <x:v>参考所属系列前序模块</x:v>
      </x:c>
      <x:c r="N21" s="31" t="str"/>
    </x:row>
    <x:row r="22" ht="42" customHeight="1">
      <x:c r="A22" s="31" t="str">
        <x:v>P2.03</x:v>
      </x:c>
      <x:c r="B22" s="31" t="str">
        <x:v>P</x:v>
      </x:c>
      <x:c r="C22" s="31" t="str">
        <x:v>P2</x:v>
      </x:c>
      <x:c r="D22" s="31" t="str">
        <x:v>基础电子电路、原理图与嘉立创硬件实践</x:v>
      </x:c>
      <x:c r="E22" s="31" t="str">
        <x:v>三极管、MOSFET、开关、电平转换、体二极管与导通损耗</x:v>
      </x:c>
      <x:c r="F22" s="31" t="str">
        <x:v>C｜专项老师主讲，你负责衔接与验收</x:v>
      </x:c>
      <x:c r="G22" s="31" t="str">
        <x:v>专项老师主讲，你负责课程衔接与验收</x:v>
      </x:c>
      <x:c r="H22" s="31" t="str">
        <x:v>需要较强的专项设计或产品化经验，建议由对应专家主讲，课程负责人负责与主线衔接。</x:v>
      </x:c>
      <x:c r="I22" s="31" t="str">
        <x:v>原理图/计算＋板级测试</x:v>
      </x:c>
      <x:c r="J22" s="31" t="str">
        <x:v>讲稿、原理图/计算、板级测试记录、检查清单</x:v>
      </x:c>
      <x:c r="K22" s="31" t="str">
        <x:v>按需</x:v>
      </x:c>
      <x:c r="L22" s="31" t="str">
        <x:v>待确认</x:v>
      </x:c>
      <x:c r="M22" s="31" t="str">
        <x:v>参考所属系列前序模块</x:v>
      </x:c>
      <x:c r="N22" s="31" t="str"/>
    </x:row>
    <x:row r="23" ht="42" customHeight="1">
      <x:c r="A23" s="31" t="str">
        <x:v>P2.04</x:v>
      </x:c>
      <x:c r="B23" s="31" t="str">
        <x:v>P</x:v>
      </x:c>
      <x:c r="C23" s="31" t="str">
        <x:v>P2</x:v>
      </x:c>
      <x:c r="D23" s="31" t="str">
        <x:v>基础电子电路、原理图与嘉立创硬件实践</x:v>
      </x:c>
      <x:c r="E23" s="31" t="str">
        <x:v>运算放大器、比较器、增益、偏置、共模范围、带宽与饱和</x:v>
      </x:c>
      <x:c r="F23" s="31" t="str">
        <x:v>C｜专项老师主讲，你负责衔接与验收</x:v>
      </x:c>
      <x:c r="G23" s="31" t="str">
        <x:v>专项老师主讲，你负责课程衔接与验收</x:v>
      </x:c>
      <x:c r="H23" s="31" t="str">
        <x:v>需要较强的专项设计或产品化经验，建议由对应专家主讲，课程负责人负责与主线衔接。</x:v>
      </x:c>
      <x:c r="I23" s="31" t="str">
        <x:v>原理讲解＋工程案例＋检查题</x:v>
      </x:c>
      <x:c r="J23" s="31" t="str">
        <x:v>讲稿、课件、示例、作业与答案</x:v>
      </x:c>
      <x:c r="K23" s="31" t="str">
        <x:v>按需</x:v>
      </x:c>
      <x:c r="L23" s="31" t="str">
        <x:v>待确认</x:v>
      </x:c>
      <x:c r="M23" s="31" t="str">
        <x:v>参考所属系列前序模块</x:v>
      </x:c>
      <x:c r="N23" s="31" t="str"/>
    </x:row>
    <x:row r="24" ht="42" customHeight="1">
      <x:c r="A24" s="31" t="str">
        <x:v>P2.05</x:v>
      </x:c>
      <x:c r="B24" s="31" t="str">
        <x:v>P</x:v>
      </x:c>
      <x:c r="C24" s="31" t="str">
        <x:v>P2</x:v>
      </x:c>
      <x:c r="D24" s="31" t="str">
        <x:v>基础电子电路、原理图与嘉立创硬件实践</x:v>
      </x:c>
      <x:c r="E24" s="31" t="str">
        <x:v>LDO、Buck、输入输出电容、纹波、效率与电源顺序</x:v>
      </x:c>
      <x:c r="F24" s="31" t="str">
        <x:v>C｜专项老师主讲，你负责衔接与验收</x:v>
      </x:c>
      <x:c r="G24" s="31" t="str">
        <x:v>专项老师主讲，你负责课程衔接与验收</x:v>
      </x:c>
      <x:c r="H24" s="31" t="str">
        <x:v>需要较强的专项设计或产品化经验，建议由对应专家主讲，课程负责人负责与主线衔接。</x:v>
      </x:c>
      <x:c r="I24" s="31" t="str">
        <x:v>原理图/计算＋板级测试</x:v>
      </x:c>
      <x:c r="J24" s="31" t="str">
        <x:v>讲稿、课件、示例、作业与答案</x:v>
      </x:c>
      <x:c r="K24" s="31" t="str">
        <x:v>按需</x:v>
      </x:c>
      <x:c r="L24" s="31" t="str">
        <x:v>待确认</x:v>
      </x:c>
      <x:c r="M24" s="31" t="str">
        <x:v>参考所属系列前序模块</x:v>
      </x:c>
      <x:c r="N24" s="31" t="str"/>
    </x:row>
    <x:row r="25" ht="42" customHeight="1">
      <x:c r="A25" s="31" t="str">
        <x:v>P2.06</x:v>
      </x:c>
      <x:c r="B25" s="31" t="str">
        <x:v>P</x:v>
      </x:c>
      <x:c r="C25" s="31" t="str">
        <x:v>P2</x:v>
      </x:c>
      <x:c r="D25" s="31" t="str">
        <x:v>基础电子电路、原理图与嘉立创硬件实践</x:v>
      </x:c>
      <x:c r="E25" s="31" t="str">
        <x:v>上拉、下拉、去耦、RC 滤波、钳位、保护与测试点</x:v>
      </x:c>
      <x:c r="F25" s="31" t="str">
        <x:v>C｜专项老师主讲，你负责衔接与验收</x:v>
      </x:c>
      <x:c r="G25" s="31" t="str">
        <x:v>专项老师主讲，你负责课程衔接与验收</x:v>
      </x:c>
      <x:c r="H25" s="31" t="str">
        <x:v>需要较强的专项设计或产品化经验，建议由对应专家主讲，课程负责人负责与主线衔接。</x:v>
      </x:c>
      <x:c r="I25" s="31" t="str">
        <x:v>方法讲解＋实测数据＋问题复盘</x:v>
      </x:c>
      <x:c r="J25" s="31" t="str">
        <x:v>讲稿、实验步骤、原始数据、处理脚本、结果说明</x:v>
      </x:c>
      <x:c r="K25" s="31" t="str">
        <x:v>按需</x:v>
      </x:c>
      <x:c r="L25" s="31" t="str">
        <x:v>待确认</x:v>
      </x:c>
      <x:c r="M25" s="31" t="str">
        <x:v>参考所属系列前序模块</x:v>
      </x:c>
      <x:c r="N25" s="31" t="str"/>
    </x:row>
    <x:row r="26" ht="42" customHeight="1">
      <x:c r="A26" s="31" t="str">
        <x:v>P2.07</x:v>
      </x:c>
      <x:c r="B26" s="31" t="str">
        <x:v>P</x:v>
      </x:c>
      <x:c r="C26" s="31" t="str">
        <x:v>P2</x:v>
      </x:c>
      <x:c r="D26" s="31" t="str">
        <x:v>基础电子电路、原理图与嘉立创硬件实践</x:v>
      </x:c>
      <x:c r="E26" s="31" t="str">
        <x:v>按电源、MCU、驱动、采样、通信和保护分区阅读原理图</x:v>
      </x:c>
      <x:c r="F26" s="31" t="str">
        <x:v>C｜专项老师主讲，你负责衔接与验收</x:v>
      </x:c>
      <x:c r="G26" s="31" t="str">
        <x:v>专项老师主讲，你负责课程衔接与验收</x:v>
      </x:c>
      <x:c r="H26" s="31" t="str">
        <x:v>需要较强的专项设计或产品化经验，建议由对应专家主讲，课程负责人负责与主线衔接。</x:v>
      </x:c>
      <x:c r="I26" s="31" t="str">
        <x:v>方法讲解＋实测数据＋问题复盘</x:v>
      </x:c>
      <x:c r="J26" s="31" t="str">
        <x:v>讲稿、可运行代码、配置说明、最小测试</x:v>
      </x:c>
      <x:c r="K26" s="31" t="str">
        <x:v>按需</x:v>
      </x:c>
      <x:c r="L26" s="31" t="str">
        <x:v>待确认</x:v>
      </x:c>
      <x:c r="M26" s="31" t="str">
        <x:v>参考所属系列前序模块</x:v>
      </x:c>
      <x:c r="N26" s="31" t="str"/>
    </x:row>
    <x:row r="27" ht="42" customHeight="1">
      <x:c r="A27" s="31" t="str">
        <x:v>P2.08</x:v>
      </x:c>
      <x:c r="B27" s="31" t="str">
        <x:v>P</x:v>
      </x:c>
      <x:c r="C27" s="31" t="str">
        <x:v>P2</x:v>
      </x:c>
      <x:c r="D27" s="31" t="str">
        <x:v>基础电子电路、原理图与嘉立创硬件实践</x:v>
      </x:c>
      <x:c r="E27" s="31" t="str">
        <x:v>从数据手册核对绝对最大值、推荐条件、时序、引脚与典型应用</x:v>
      </x:c>
      <x:c r="F27" s="31" t="str">
        <x:v>C｜专项老师主讲，你负责衔接与验收</x:v>
      </x:c>
      <x:c r="G27" s="31" t="str">
        <x:v>专项老师主讲，你负责课程衔接与验收</x:v>
      </x:c>
      <x:c r="H27" s="31" t="str">
        <x:v>需要较强的专项设计或产品化经验，建议由对应专家主讲，课程负责人负责与主线衔接。</x:v>
      </x:c>
      <x:c r="I27" s="31" t="str">
        <x:v>原理讲解＋工程案例＋检查题</x:v>
      </x:c>
      <x:c r="J27" s="31" t="str">
        <x:v>讲稿、课件、示例、作业与答案</x:v>
      </x:c>
      <x:c r="K27" s="31" t="str">
        <x:v>按需</x:v>
      </x:c>
      <x:c r="L27" s="31" t="str">
        <x:v>待确认</x:v>
      </x:c>
      <x:c r="M27" s="31" t="str">
        <x:v>参考所属系列前序模块</x:v>
      </x:c>
      <x:c r="N27" s="31" t="str"/>
    </x:row>
    <x:row r="28" ht="42" customHeight="1">
      <x:c r="A28" s="31" t="str">
        <x:v>P2.09</x:v>
      </x:c>
      <x:c r="B28" s="31" t="str">
        <x:v>P</x:v>
      </x:c>
      <x:c r="C28" s="31" t="str">
        <x:v>P2</x:v>
      </x:c>
      <x:c r="D28" s="31" t="str">
        <x:v>基础电子电路、原理图与嘉立创硬件实践</x:v>
      </x:c>
      <x:c r="E28" s="31" t="str">
        <x:v>嘉立创 EDA 工程、原理图库、封装库、引脚编号与器件属性</x:v>
      </x:c>
      <x:c r="F28" s="31" t="str">
        <x:v>C｜专项老师主讲，你负责衔接与验收</x:v>
      </x:c>
      <x:c r="G28" s="31" t="str">
        <x:v>专项老师主讲，你负责课程衔接与验收</x:v>
      </x:c>
      <x:c r="H28" s="31" t="str">
        <x:v>需要较强的专项设计或产品化经验，建议由对应专家主讲，课程负责人负责与主线衔接。</x:v>
      </x:c>
      <x:c r="I28" s="31" t="str">
        <x:v>原理讲解＋工程案例＋检查题</x:v>
      </x:c>
      <x:c r="J28" s="31" t="str">
        <x:v>讲稿、课件、示例、作业与答案</x:v>
      </x:c>
      <x:c r="K28" s="31" t="str">
        <x:v>按需</x:v>
      </x:c>
      <x:c r="L28" s="31" t="str">
        <x:v>待确认</x:v>
      </x:c>
      <x:c r="M28" s="31" t="str">
        <x:v>参考所属系列前序模块</x:v>
      </x:c>
      <x:c r="N28" s="31" t="str"/>
    </x:row>
    <x:row r="29" ht="42" customHeight="1">
      <x:c r="A29" s="31" t="str">
        <x:v>P2.10</x:v>
      </x:c>
      <x:c r="B29" s="31" t="str">
        <x:v>P</x:v>
      </x:c>
      <x:c r="C29" s="31" t="str">
        <x:v>P2</x:v>
      </x:c>
      <x:c r="D29" s="31" t="str">
        <x:v>基础电子电路、原理图与嘉立创硬件实践</x:v>
      </x:c>
      <x:c r="E29" s="31" t="str">
        <x:v>绘制带电源、接口、去耦、网络标签与测试点的基础原理图</x:v>
      </x:c>
      <x:c r="F29" s="31" t="str">
        <x:v>C｜专项老师主讲，你负责衔接与验收</x:v>
      </x:c>
      <x:c r="G29" s="31" t="str">
        <x:v>专项老师主讲，你负责课程衔接与验收</x:v>
      </x:c>
      <x:c r="H29" s="31" t="str">
        <x:v>需要较强的专项设计或产品化经验，建议由对应专家主讲，课程负责人负责与主线衔接。</x:v>
      </x:c>
      <x:c r="I29" s="31" t="str">
        <x:v>方法讲解＋实测数据＋问题复盘</x:v>
      </x:c>
      <x:c r="J29" s="31" t="str">
        <x:v>讲稿、实验步骤、原始数据、处理脚本、结果说明</x:v>
      </x:c>
      <x:c r="K29" s="31" t="str">
        <x:v>按需</x:v>
      </x:c>
      <x:c r="L29" s="31" t="str">
        <x:v>待确认</x:v>
      </x:c>
      <x:c r="M29" s="31" t="str">
        <x:v>参考所属系列前序模块</x:v>
      </x:c>
      <x:c r="N29" s="31" t="str"/>
    </x:row>
    <x:row r="30" ht="42" customHeight="1">
      <x:c r="A30" s="31" t="str">
        <x:v>P2.11</x:v>
      </x:c>
      <x:c r="B30" s="31" t="str">
        <x:v>P</x:v>
      </x:c>
      <x:c r="C30" s="31" t="str">
        <x:v>P2</x:v>
      </x:c>
      <x:c r="D30" s="31" t="str">
        <x:v>基础电子电路、原理图与嘉立创硬件实践</x:v>
      </x:c>
      <x:c r="E30" s="31" t="str">
        <x:v>原理图 ERC、封装检查与人工审查中的常见错误</x:v>
      </x:c>
      <x:c r="F30" s="31" t="str">
        <x:v>C｜专项老师主讲，你负责衔接与验收</x:v>
      </x:c>
      <x:c r="G30" s="31" t="str">
        <x:v>专项老师主讲，你负责课程衔接与验收</x:v>
      </x:c>
      <x:c r="H30" s="31" t="str">
        <x:v>需要较强的专项设计或产品化经验，建议由对应专家主讲，课程负责人负责与主线衔接。</x:v>
      </x:c>
      <x:c r="I30" s="31" t="str">
        <x:v>原理讲解＋工程案例＋检查题</x:v>
      </x:c>
      <x:c r="J30" s="31" t="str">
        <x:v>讲稿、课件、示例、作业与答案</x:v>
      </x:c>
      <x:c r="K30" s="31" t="str">
        <x:v>按需</x:v>
      </x:c>
      <x:c r="L30" s="31" t="str">
        <x:v>待确认</x:v>
      </x:c>
      <x:c r="M30" s="31" t="str">
        <x:v>参考所属系列前序模块</x:v>
      </x:c>
      <x:c r="N30" s="31" t="str"/>
    </x:row>
    <x:row r="31" ht="42" customHeight="1">
      <x:c r="A31" s="31" t="str">
        <x:v>P2.12</x:v>
      </x:c>
      <x:c r="B31" s="31" t="str">
        <x:v>P</x:v>
      </x:c>
      <x:c r="C31" s="31" t="str">
        <x:v>P2</x:v>
      </x:c>
      <x:c r="D31" s="31" t="str">
        <x:v>基础电子电路、原理图与嘉立创硬件实践</x:v>
      </x:c>
      <x:c r="E31" s="31" t="str">
        <x:v>两层板板框、布局、走线、铺铜、过孔、回流与丝印基础</x:v>
      </x:c>
      <x:c r="F31" s="31" t="str">
        <x:v>C｜专项老师主讲，你负责衔接与验收</x:v>
      </x:c>
      <x:c r="G31" s="31" t="str">
        <x:v>专项老师主讲，你负责课程衔接与验收</x:v>
      </x:c>
      <x:c r="H31" s="31" t="str">
        <x:v>需要较强的专项设计或产品化经验，建议由对应专家主讲，课程负责人负责与主线衔接。</x:v>
      </x:c>
      <x:c r="I31" s="31" t="str">
        <x:v>原理讲解＋工程案例＋检查题</x:v>
      </x:c>
      <x:c r="J31" s="31" t="str">
        <x:v>讲稿、课件、示例、作业与答案</x:v>
      </x:c>
      <x:c r="K31" s="31" t="str">
        <x:v>按需</x:v>
      </x:c>
      <x:c r="L31" s="31" t="str">
        <x:v>待确认</x:v>
      </x:c>
      <x:c r="M31" s="31" t="str">
        <x:v>参考所属系列前序模块</x:v>
      </x:c>
      <x:c r="N31" s="31" t="str"/>
    </x:row>
    <x:row r="32" ht="42" customHeight="1">
      <x:c r="A32" s="31" t="str">
        <x:v>P2.13</x:v>
      </x:c>
      <x:c r="B32" s="31" t="str">
        <x:v>P</x:v>
      </x:c>
      <x:c r="C32" s="31" t="str">
        <x:v>P2</x:v>
      </x:c>
      <x:c r="D32" s="31" t="str">
        <x:v>基础电子电路、原理图与嘉立创硬件实践</x:v>
      </x:c>
      <x:c r="E32" s="31" t="str">
        <x:v>PCB DRC、Gerber、钻孔、BOM、坐标文件与生产前检查</x:v>
      </x:c>
      <x:c r="F32" s="31" t="str">
        <x:v>C｜专项老师主讲，你负责衔接与验收</x:v>
      </x:c>
      <x:c r="G32" s="31" t="str">
        <x:v>专项老师主讲，你负责课程衔接与验收</x:v>
      </x:c>
      <x:c r="H32" s="31" t="str">
        <x:v>需要较强的专项设计或产品化经验，建议由对应专家主讲，课程负责人负责与主线衔接。</x:v>
      </x:c>
      <x:c r="I32" s="31" t="str">
        <x:v>原理图/计算＋板级测试</x:v>
      </x:c>
      <x:c r="J32" s="31" t="str">
        <x:v>讲稿、原理图/计算、板级测试记录、检查清单</x:v>
      </x:c>
      <x:c r="K32" s="31" t="str">
        <x:v>按需</x:v>
      </x:c>
      <x:c r="L32" s="31" t="str">
        <x:v>待确认</x:v>
      </x:c>
      <x:c r="M32" s="31" t="str">
        <x:v>参考所属系列前序模块</x:v>
      </x:c>
      <x:c r="N32" s="31" t="str"/>
    </x:row>
    <x:row r="33" ht="42" customHeight="1">
      <x:c r="A33" s="31" t="str">
        <x:v>P2.14</x:v>
      </x:c>
      <x:c r="B33" s="31" t="str">
        <x:v>P</x:v>
      </x:c>
      <x:c r="C33" s="31" t="str">
        <x:v>P2</x:v>
      </x:c>
      <x:c r="D33" s="31" t="str">
        <x:v>基础电子电路、原理图与嘉立创硬件实践</x:v>
      </x:c>
      <x:c r="E33" s="31" t="str">
        <x:v>嘉立创 PCB/SMT 下单参数、替代料、贴片、焊接与开源硬件复现</x:v>
      </x:c>
      <x:c r="F33" s="31" t="str">
        <x:v>C｜专项老师主讲，你负责衔接与验收</x:v>
      </x:c>
      <x:c r="G33" s="31" t="str">
        <x:v>专项老师主讲，你负责课程衔接与验收</x:v>
      </x:c>
      <x:c r="H33" s="31" t="str">
        <x:v>需要较强的专项设计或产品化经验，建议由对应专家主讲，课程负责人负责与主线衔接。</x:v>
      </x:c>
      <x:c r="I33" s="31" t="str">
        <x:v>原理图/计算＋板级测试</x:v>
      </x:c>
      <x:c r="J33" s="31" t="str">
        <x:v>讲稿、原理图/计算、板级测试记录、检查清单</x:v>
      </x:c>
      <x:c r="K33" s="31" t="str">
        <x:v>按需</x:v>
      </x:c>
      <x:c r="L33" s="31" t="str">
        <x:v>待确认</x:v>
      </x:c>
      <x:c r="M33" s="31" t="str">
        <x:v>参考所属系列前序模块</x:v>
      </x:c>
      <x:c r="N33" s="31" t="str"/>
    </x:row>
    <x:row r="34" ht="42" customHeight="1">
      <x:c r="A34" s="31" t="str">
        <x:v>P3.01</x:v>
      </x:c>
      <x:c r="B34" s="31" t="str">
        <x:v>P</x:v>
      </x:c>
      <x:c r="C34" s="31" t="str">
        <x:v>P3</x:v>
      </x:c>
      <x:c r="D34" s="31" t="str">
        <x:v>常用仪器、调试接口、线材、焊接与实验安全</x:v>
      </x:c>
      <x:c r="E34" s="31" t="str">
        <x:v>万用表电压、电阻、通断、二极管与电流档的正确使用</x:v>
      </x:c>
      <x:c r="F34" s="31" t="str">
        <x:v>B｜你主讲，专项老师补充</x:v>
      </x:c>
      <x:c r="G34" s="31" t="str">
        <x:v>你主讲，专项老师补充</x:v>
      </x:c>
      <x:c r="H34" s="31" t="str">
        <x:v>属于核心专项，课程负责人控制主线，再由有实机经验的老师补充算法细节和适用边界。</x:v>
      </x:c>
      <x:c r="I34" s="31" t="str">
        <x:v>原理讲解＋工程案例＋检查题</x:v>
      </x:c>
      <x:c r="J34" s="31" t="str">
        <x:v>讲稿、课件、示例、作业与答案</x:v>
      </x:c>
      <x:c r="K34" s="31" t="str">
        <x:v>按需</x:v>
      </x:c>
      <x:c r="L34" s="31" t="str">
        <x:v>待确认</x:v>
      </x:c>
      <x:c r="M34" s="31" t="str">
        <x:v>参考所属系列前序模块</x:v>
      </x:c>
      <x:c r="N34" s="31" t="str"/>
    </x:row>
    <x:row r="35" ht="42" customHeight="1">
      <x:c r="A35" s="31" t="str">
        <x:v>P3.02</x:v>
      </x:c>
      <x:c r="B35" s="31" t="str">
        <x:v>P</x:v>
      </x:c>
      <x:c r="C35" s="31" t="str">
        <x:v>P3</x:v>
      </x:c>
      <x:c r="D35" s="31" t="str">
        <x:v>常用仪器、调试接口、线材、焊接与实验安全</x:v>
      </x:c>
      <x:c r="E35" s="31" t="str">
        <x:v>直流电源、限流、电子负载、分级上电与异常停止方法</x:v>
      </x:c>
      <x:c r="F35" s="31" t="str">
        <x:v>B｜你主讲，专项老师补充</x:v>
      </x:c>
      <x:c r="G35" s="31" t="str">
        <x:v>你主讲，专项老师补充</x:v>
      </x:c>
      <x:c r="H35" s="31" t="str">
        <x:v>属于核心专项，课程负责人控制主线，再由有实机经验的老师补充算法细节和适用边界。</x:v>
      </x:c>
      <x:c r="I35" s="31" t="str">
        <x:v>原理图/计算＋板级测试</x:v>
      </x:c>
      <x:c r="J35" s="31" t="str">
        <x:v>讲稿、课件、示例、作业与答案</x:v>
      </x:c>
      <x:c r="K35" s="31" t="str">
        <x:v>按需</x:v>
      </x:c>
      <x:c r="L35" s="31" t="str">
        <x:v>待确认</x:v>
      </x:c>
      <x:c r="M35" s="31" t="str">
        <x:v>参考所属系列前序模块</x:v>
      </x:c>
      <x:c r="N35" s="31" t="str"/>
    </x:row>
    <x:row r="36" ht="42" customHeight="1">
      <x:c r="A36" s="31" t="str">
        <x:v>P3.03</x:v>
      </x:c>
      <x:c r="B36" s="31" t="str">
        <x:v>P</x:v>
      </x:c>
      <x:c r="C36" s="31" t="str">
        <x:v>P3</x:v>
      </x:c>
      <x:c r="D36" s="31" t="str">
        <x:v>常用仪器、调试接口、线材、焊接与实验安全</x:v>
      </x:c>
      <x:c r="E36" s="31" t="str">
        <x:v>示波器探头倍率、带宽、采样率、触发、接地与差分测量</x:v>
      </x:c>
      <x:c r="F36" s="31" t="str">
        <x:v>B｜你主讲，专项老师补充</x:v>
      </x:c>
      <x:c r="G36" s="31" t="str">
        <x:v>你主讲，专项老师补充</x:v>
      </x:c>
      <x:c r="H36" s="31" t="str">
        <x:v>属于核心专项，课程负责人控制主线，再由有实机经验的老师补充算法细节和适用边界。</x:v>
      </x:c>
      <x:c r="I36" s="31" t="str">
        <x:v>原理讲解＋工程案例＋检查题</x:v>
      </x:c>
      <x:c r="J36" s="31" t="str">
        <x:v>讲稿、课件、示例、作业与答案</x:v>
      </x:c>
      <x:c r="K36" s="31" t="str">
        <x:v>按需</x:v>
      </x:c>
      <x:c r="L36" s="31" t="str">
        <x:v>待确认</x:v>
      </x:c>
      <x:c r="M36" s="31" t="str">
        <x:v>参考所属系列前序模块</x:v>
      </x:c>
      <x:c r="N36" s="31" t="str"/>
    </x:row>
    <x:row r="37" ht="42" customHeight="1">
      <x:c r="A37" s="31" t="str">
        <x:v>P3.04</x:v>
      </x:c>
      <x:c r="B37" s="31" t="str">
        <x:v>P</x:v>
      </x:c>
      <x:c r="C37" s="31" t="str">
        <x:v>P3</x:v>
      </x:c>
      <x:c r="D37" s="31" t="str">
        <x:v>常用仪器、调试接口、线材、焊接与实验安全</x:v>
      </x:c>
      <x:c r="E37" s="31" t="str">
        <x:v>逻辑分析仪观察 GPIO、PWM、UART、SPI、I²C 与数字时序</x:v>
      </x:c>
      <x:c r="F37" s="31" t="str">
        <x:v>B｜你主讲，专项老师补充</x:v>
      </x:c>
      <x:c r="G37" s="31" t="str">
        <x:v>你主讲，专项老师补充</x:v>
      </x:c>
      <x:c r="H37" s="31" t="str">
        <x:v>属于核心专项，课程负责人控制主线，再由有实机经验的老师补充算法细节和适用边界。</x:v>
      </x:c>
      <x:c r="I37" s="31" t="str">
        <x:v>原理讲解＋工程案例＋检查题</x:v>
      </x:c>
      <x:c r="J37" s="31" t="str">
        <x:v>讲稿、课件、示例、作业与答案</x:v>
      </x:c>
      <x:c r="K37" s="31" t="str">
        <x:v>按需</x:v>
      </x:c>
      <x:c r="L37" s="31" t="str">
        <x:v>待确认</x:v>
      </x:c>
      <x:c r="M37" s="31" t="str">
        <x:v>参考所属系列前序模块</x:v>
      </x:c>
      <x:c r="N37" s="31" t="str"/>
    </x:row>
    <x:row r="38" ht="42" customHeight="1">
      <x:c r="A38" s="31" t="str">
        <x:v>P3.05</x:v>
      </x:c>
      <x:c r="B38" s="31" t="str">
        <x:v>P</x:v>
      </x:c>
      <x:c r="C38" s="31" t="str">
        <x:v>P3</x:v>
      </x:c>
      <x:c r="D38" s="31" t="str">
        <x:v>常用仪器、调试接口、线材、焊接与实验安全</x:v>
      </x:c>
      <x:c r="E38" s="31" t="str">
        <x:v>ST-Link、J-Link、CMSIS-DAP、SWD 与 JTAG 的区别和接线</x:v>
      </x:c>
      <x:c r="F38" s="31" t="str">
        <x:v>B｜你主讲，专项老师补充</x:v>
      </x:c>
      <x:c r="G38" s="31" t="str">
        <x:v>你主讲，专项老师补充</x:v>
      </x:c>
      <x:c r="H38" s="31" t="str">
        <x:v>属于核心专项，课程负责人控制主线，再由有实机经验的老师补充算法细节和适用边界。</x:v>
      </x:c>
      <x:c r="I38" s="31" t="str">
        <x:v>原理讲解＋工程案例＋检查题</x:v>
      </x:c>
      <x:c r="J38" s="31" t="str">
        <x:v>讲稿、课件、示例、作业与答案</x:v>
      </x:c>
      <x:c r="K38" s="31" t="str">
        <x:v>按需</x:v>
      </x:c>
      <x:c r="L38" s="31" t="str">
        <x:v>待确认</x:v>
      </x:c>
      <x:c r="M38" s="31" t="str">
        <x:v>参考所属系列前序模块</x:v>
      </x:c>
      <x:c r="N38" s="31" t="str"/>
    </x:row>
    <x:row r="39" ht="42" customHeight="1">
      <x:c r="A39" s="31" t="str">
        <x:v>P3.06</x:v>
      </x:c>
      <x:c r="B39" s="31" t="str">
        <x:v>P</x:v>
      </x:c>
      <x:c r="C39" s="31" t="str">
        <x:v>P3</x:v>
      </x:c>
      <x:c r="D39" s="31" t="str">
        <x:v>常用仪器、调试接口、线材、焊接与实验安全</x:v>
      </x:c>
      <x:c r="E39" s="31" t="str">
        <x:v>TTL UART、RS-232、RS-485 与 CAN 的电平、共地、差分和终端电阻</x:v>
      </x:c>
      <x:c r="F39" s="31" t="str">
        <x:v>B｜你主讲，专项老师补充</x:v>
      </x:c>
      <x:c r="G39" s="31" t="str">
        <x:v>你主讲，专项老师补充</x:v>
      </x:c>
      <x:c r="H39" s="31" t="str">
        <x:v>属于核心专项，课程负责人控制主线，再由有实机经验的老师补充算法细节和适用边界。</x:v>
      </x:c>
      <x:c r="I39" s="31" t="str">
        <x:v>原理讲解＋工程案例＋检查题</x:v>
      </x:c>
      <x:c r="J39" s="31" t="str">
        <x:v>讲稿、课件、示例、作业与答案</x:v>
      </x:c>
      <x:c r="K39" s="31" t="str">
        <x:v>按需</x:v>
      </x:c>
      <x:c r="L39" s="31" t="str">
        <x:v>待确认</x:v>
      </x:c>
      <x:c r="M39" s="31" t="str">
        <x:v>参考所属系列前序模块</x:v>
      </x:c>
      <x:c r="N39" s="31" t="str"/>
    </x:row>
    <x:row r="40" ht="42" customHeight="1">
      <x:c r="A40" s="31" t="str">
        <x:v>P3.07</x:v>
      </x:c>
      <x:c r="B40" s="31" t="str">
        <x:v>P</x:v>
      </x:c>
      <x:c r="C40" s="31" t="str">
        <x:v>P3</x:v>
      </x:c>
      <x:c r="D40" s="31" t="str">
        <x:v>常用仪器、调试接口、线材、焊接与实验安全</x:v>
      </x:c>
      <x:c r="E40" s="31" t="str">
        <x:v>USB、Type-C、BNC、香蕉头、接线端子与常见接口识别</x:v>
      </x:c>
      <x:c r="F40" s="31" t="str">
        <x:v>B｜你主讲，专项老师补充</x:v>
      </x:c>
      <x:c r="G40" s="31" t="str">
        <x:v>你主讲，专项老师补充</x:v>
      </x:c>
      <x:c r="H40" s="31" t="str">
        <x:v>属于核心专项，课程负责人控制主线，再由有实机经验的老师补充算法细节和适用边界。</x:v>
      </x:c>
      <x:c r="I40" s="31" t="str">
        <x:v>原理＋代码演示＋最小练习</x:v>
      </x:c>
      <x:c r="J40" s="31" t="str">
        <x:v>讲稿、课件、示例、作业与答案</x:v>
      </x:c>
      <x:c r="K40" s="31" t="str">
        <x:v>按需</x:v>
      </x:c>
      <x:c r="L40" s="31" t="str">
        <x:v>待确认</x:v>
      </x:c>
      <x:c r="M40" s="31" t="str">
        <x:v>参考所属系列前序模块</x:v>
      </x:c>
      <x:c r="N40" s="31" t="str"/>
    </x:row>
    <x:row r="41" ht="42" customHeight="1">
      <x:c r="A41" s="31" t="str">
        <x:v>P3.08</x:v>
      </x:c>
      <x:c r="B41" s="31" t="str">
        <x:v>P</x:v>
      </x:c>
      <x:c r="C41" s="31" t="str">
        <x:v>P3</x:v>
      </x:c>
      <x:c r="D41" s="31" t="str">
        <x:v>常用仪器、调试接口、线材、焊接与实验安全</x:v>
      </x:c>
      <x:c r="E41" s="31" t="str">
        <x:v>杜邦线、排线、双绞线、屏蔽线、同轴线与动力线的选择</x:v>
      </x:c>
      <x:c r="F41" s="31" t="str">
        <x:v>B｜你主讲，专项老师补充</x:v>
      </x:c>
      <x:c r="G41" s="31" t="str">
        <x:v>你主讲，专项老师补充</x:v>
      </x:c>
      <x:c r="H41" s="31" t="str">
        <x:v>属于核心专项，课程负责人控制主线，再由有实机经验的老师补充算法细节和适用边界。</x:v>
      </x:c>
      <x:c r="I41" s="31" t="str">
        <x:v>原理讲解＋工程案例＋检查题</x:v>
      </x:c>
      <x:c r="J41" s="31" t="str">
        <x:v>讲稿、课件、示例、作业与答案</x:v>
      </x:c>
      <x:c r="K41" s="31" t="str">
        <x:v>按需</x:v>
      </x:c>
      <x:c r="L41" s="31" t="str">
        <x:v>待确认</x:v>
      </x:c>
      <x:c r="M41" s="31" t="str">
        <x:v>参考所属系列前序模块</x:v>
      </x:c>
      <x:c r="N41" s="31" t="str"/>
    </x:row>
    <x:row r="42" ht="42" customHeight="1">
      <x:c r="A42" s="31" t="str">
        <x:v>P3.09</x:v>
      </x:c>
      <x:c r="B42" s="31" t="str">
        <x:v>P</x:v>
      </x:c>
      <x:c r="C42" s="31" t="str">
        <x:v>P3</x:v>
      </x:c>
      <x:c r="D42" s="31" t="str">
        <x:v>常用仪器、调试接口、线材、焊接与实验安全</x:v>
      </x:c>
      <x:c r="E42" s="31" t="str">
        <x:v>JST、PH、XH、VH、IDC 等连接器的间距、电流、防呆与压接</x:v>
      </x:c>
      <x:c r="F42" s="31" t="str">
        <x:v>B｜你主讲，专项老师补充</x:v>
      </x:c>
      <x:c r="G42" s="31" t="str">
        <x:v>你主讲，专项老师补充</x:v>
      </x:c>
      <x:c r="H42" s="31" t="str">
        <x:v>属于核心专项，课程负责人控制主线，再由有实机经验的老师补充算法细节和适用边界。</x:v>
      </x:c>
      <x:c r="I42" s="31" t="str">
        <x:v>原理讲解＋工程案例＋检查题</x:v>
      </x:c>
      <x:c r="J42" s="31" t="str">
        <x:v>讲稿、课件、示例、作业与答案</x:v>
      </x:c>
      <x:c r="K42" s="31" t="str">
        <x:v>按需</x:v>
      </x:c>
      <x:c r="L42" s="31" t="str">
        <x:v>待确认</x:v>
      </x:c>
      <x:c r="M42" s="31" t="str">
        <x:v>参考所属系列前序模块</x:v>
      </x:c>
      <x:c r="N42" s="31" t="str"/>
    </x:row>
    <x:row r="43" ht="42" customHeight="1">
      <x:c r="A43" s="31" t="str">
        <x:v>P3.10</x:v>
      </x:c>
      <x:c r="B43" s="31" t="str">
        <x:v>P</x:v>
      </x:c>
      <x:c r="C43" s="31" t="str">
        <x:v>P3</x:v>
      </x:c>
      <x:c r="D43" s="31" t="str">
        <x:v>常用仪器、调试接口、线材、焊接与实验安全</x:v>
      </x:c>
      <x:c r="E43" s="31" t="str">
        <x:v>电烙铁、热风枪、焊锡、助焊剂、吸锡工具与基础焊接</x:v>
      </x:c>
      <x:c r="F43" s="31" t="str">
        <x:v>B｜你主讲，专项老师补充</x:v>
      </x:c>
      <x:c r="G43" s="31" t="str">
        <x:v>你主讲，专项老师补充</x:v>
      </x:c>
      <x:c r="H43" s="31" t="str">
        <x:v>属于核心专项，课程负责人控制主线，再由有实机经验的老师补充算法细节和适用边界。</x:v>
      </x:c>
      <x:c r="I43" s="31" t="str">
        <x:v>原理图/计算＋板级测试</x:v>
      </x:c>
      <x:c r="J43" s="31" t="str">
        <x:v>讲稿、原理图/计算、板级测试记录、检查清单</x:v>
      </x:c>
      <x:c r="K43" s="31" t="str">
        <x:v>按需</x:v>
      </x:c>
      <x:c r="L43" s="31" t="str">
        <x:v>待确认</x:v>
      </x:c>
      <x:c r="M43" s="31" t="str">
        <x:v>参考所属系列前序模块</x:v>
      </x:c>
      <x:c r="N43" s="31" t="str"/>
    </x:row>
    <x:row r="44" ht="42" customHeight="1">
      <x:c r="A44" s="31" t="str">
        <x:v>P3.11</x:v>
      </x:c>
      <x:c r="B44" s="31" t="str">
        <x:v>P</x:v>
      </x:c>
      <x:c r="C44" s="31" t="str">
        <x:v>P3</x:v>
      </x:c>
      <x:c r="D44" s="31" t="str">
        <x:v>常用仪器、调试接口、线材、焊接与实验安全</x:v>
      </x:c>
      <x:c r="E44" s="31" t="str">
        <x:v>极性、短路、虚焊、器件方向与上电前目检检查</x:v>
      </x:c>
      <x:c r="F44" s="31" t="str">
        <x:v>B｜你主讲，专项老师补充</x:v>
      </x:c>
      <x:c r="G44" s="31" t="str">
        <x:v>你主讲，专项老师补充</x:v>
      </x:c>
      <x:c r="H44" s="31" t="str">
        <x:v>属于核心专项，课程负责人控制主线，再由有实机经验的老师补充算法细节和适用边界。</x:v>
      </x:c>
      <x:c r="I44" s="31" t="str">
        <x:v>原理讲解＋工程案例＋检查题</x:v>
      </x:c>
      <x:c r="J44" s="31" t="str">
        <x:v>讲稿、课件、示例、作业与答案</x:v>
      </x:c>
      <x:c r="K44" s="31" t="str">
        <x:v>按需</x:v>
      </x:c>
      <x:c r="L44" s="31" t="str">
        <x:v>待确认</x:v>
      </x:c>
      <x:c r="M44" s="31" t="str">
        <x:v>参考所属系列前序模块</x:v>
      </x:c>
      <x:c r="N44" s="31" t="str"/>
    </x:row>
    <x:row r="45" ht="42" customHeight="1">
      <x:c r="A45" s="31" t="str">
        <x:v>P3.12</x:v>
      </x:c>
      <x:c r="B45" s="31" t="str">
        <x:v>P</x:v>
      </x:c>
      <x:c r="C45" s="31" t="str">
        <x:v>P3</x:v>
      </x:c>
      <x:c r="D45" s="31" t="str">
        <x:v>常用仪器、调试接口、线材、焊接与实验安全</x:v>
      </x:c>
      <x:c r="E45" s="31" t="str">
        <x:v>普通示波器地夹、高压节点、半桥测量与实验安全边界</x:v>
      </x:c>
      <x:c r="F45" s="31" t="str">
        <x:v>B｜你主讲，专项老师补充</x:v>
      </x:c>
      <x:c r="G45" s="31" t="str">
        <x:v>你主讲，专项老师补充</x:v>
      </x:c>
      <x:c r="H45" s="31" t="str">
        <x:v>属于核心专项，课程负责人控制主线，再由有实机经验的老师补充算法细节和适用边界。</x:v>
      </x:c>
      <x:c r="I45" s="31" t="str">
        <x:v>方法讲解＋实测数据＋问题复盘</x:v>
      </x:c>
      <x:c r="J45" s="31" t="str">
        <x:v>讲稿、实验步骤、原始数据、处理脚本、结果说明</x:v>
      </x:c>
      <x:c r="K45" s="31" t="str">
        <x:v>按需</x:v>
      </x:c>
      <x:c r="L45" s="31" t="str">
        <x:v>待确认</x:v>
      </x:c>
      <x:c r="M45" s="31" t="str">
        <x:v>参考所属系列前序模块</x:v>
      </x:c>
      <x:c r="N45" s="31" t="str"/>
    </x:row>
    <x:row r="46" ht="42" customHeight="1">
      <x:c r="A46" s="31" t="str">
        <x:v>P4.01</x:v>
      </x:c>
      <x:c r="B46" s="31" t="str">
        <x:v>P</x:v>
      </x:c>
      <x:c r="C46" s="31" t="str">
        <x:v>P4</x:v>
      </x:c>
      <x:c r="D46" s="31" t="str">
        <x:v>面向电机控制工程的 C 语言基础</x:v>
      </x:c>
      <x:c r="E46" s="31" t="str">
        <x:v>整数、浮点、固定宽度类型、符号位、范围与精度</x:v>
      </x:c>
      <x:c r="F46" s="31" t="str">
        <x:v>D｜助教/AI整理初稿，你审核</x:v>
      </x:c>
      <x:c r="G46" s="31" t="str">
        <x:v>助教/AI整理初稿，你审核</x:v>
      </x:c>
      <x:c r="H46" s="31" t="str">
        <x:v>以基础工具和标准知识为主，可先整理标准化材料，再由课程负责人检查口径和示例。</x:v>
      </x:c>
      <x:c r="I46" s="31" t="str">
        <x:v>原理讲解＋工程案例＋检查题</x:v>
      </x:c>
      <x:c r="J46" s="31" t="str">
        <x:v>讲稿、课件、示例、作业与答案</x:v>
      </x:c>
      <x:c r="K46" s="31" t="str">
        <x:v>按需</x:v>
      </x:c>
      <x:c r="L46" s="31" t="str">
        <x:v>待确认</x:v>
      </x:c>
      <x:c r="M46" s="31" t="str">
        <x:v>参考所属系列前序模块</x:v>
      </x:c>
      <x:c r="N46" s="31" t="str"/>
    </x:row>
    <x:row r="47" ht="42" customHeight="1">
      <x:c r="A47" s="31" t="str">
        <x:v>P4.02</x:v>
      </x:c>
      <x:c r="B47" s="31" t="str">
        <x:v>P</x:v>
      </x:c>
      <x:c r="C47" s="31" t="str">
        <x:v>P4</x:v>
      </x:c>
      <x:c r="D47" s="31" t="str">
        <x:v>面向电机控制工程的 C 语言基础</x:v>
      </x:c>
      <x:c r="E47" s="31" t="str">
        <x:v>变量在什么位置有效、能够保留多久：静态变量、栈与全局数据</x:v>
      </x:c>
      <x:c r="F47" s="31" t="str">
        <x:v>D｜助教/AI整理初稿，你审核</x:v>
      </x:c>
      <x:c r="G47" s="31" t="str">
        <x:v>助教/AI整理初稿，你审核</x:v>
      </x:c>
      <x:c r="H47" s="31" t="str">
        <x:v>以基础工具和标准知识为主，可先整理标准化材料，再由课程负责人检查口径和示例。</x:v>
      </x:c>
      <x:c r="I47" s="31" t="str">
        <x:v>原理讲解＋工程案例＋检查题</x:v>
      </x:c>
      <x:c r="J47" s="31" t="str">
        <x:v>讲稿、课件、示例、作业与答案</x:v>
      </x:c>
      <x:c r="K47" s="31" t="str">
        <x:v>按需</x:v>
      </x:c>
      <x:c r="L47" s="31" t="str">
        <x:v>待确认</x:v>
      </x:c>
      <x:c r="M47" s="31" t="str">
        <x:v>参考所属系列前序模块</x:v>
      </x:c>
      <x:c r="N47" s="31" t="str"/>
    </x:row>
    <x:row r="48" ht="42" customHeight="1">
      <x:c r="A48" s="31" t="str">
        <x:v>P4.03</x:v>
      </x:c>
      <x:c r="B48" s="31" t="str">
        <x:v>P</x:v>
      </x:c>
      <x:c r="C48" s="31" t="str">
        <x:v>P4</x:v>
      </x:c>
      <x:c r="D48" s="31" t="str">
        <x:v>面向电机控制工程的 C 语言基础</x:v>
      </x:c>
      <x:c r="E48" s="31" t="str">
        <x:v>数组、指针、const、缓冲区长度与函数参数</x:v>
      </x:c>
      <x:c r="F48" s="31" t="str">
        <x:v>D｜助教/AI整理初稿，你审核</x:v>
      </x:c>
      <x:c r="G48" s="31" t="str">
        <x:v>助教/AI整理初稿，你审核</x:v>
      </x:c>
      <x:c r="H48" s="31" t="str">
        <x:v>以基础工具和标准知识为主，可先整理标准化材料，再由课程负责人检查口径和示例。</x:v>
      </x:c>
      <x:c r="I48" s="31" t="str">
        <x:v>原理讲解＋工程案例＋检查题</x:v>
      </x:c>
      <x:c r="J48" s="31" t="str">
        <x:v>讲稿、课件、示例、作业与答案</x:v>
      </x:c>
      <x:c r="K48" s="31" t="str">
        <x:v>按需</x:v>
      </x:c>
      <x:c r="L48" s="31" t="str">
        <x:v>待确认</x:v>
      </x:c>
      <x:c r="M48" s="31" t="str">
        <x:v>参考所属系列前序模块</x:v>
      </x:c>
      <x:c r="N48" s="31" t="str"/>
    </x:row>
    <x:row r="49" ht="42" customHeight="1">
      <x:c r="A49" s="31" t="str">
        <x:v>P4.04</x:v>
      </x:c>
      <x:c r="B49" s="31" t="str">
        <x:v>P</x:v>
      </x:c>
      <x:c r="C49" s="31" t="str">
        <x:v>P4</x:v>
      </x:c>
      <x:c r="D49" s="31" t="str">
        <x:v>面向电机控制工程的 C 语言基础</x:v>
      </x:c>
      <x:c r="E49" s="31" t="str">
        <x:v>结构体、嵌套结构体与多个 PI、滤波器或电机实例</x:v>
      </x:c>
      <x:c r="F49" s="31" t="str">
        <x:v>D｜助教/AI整理初稿，你审核</x:v>
      </x:c>
      <x:c r="G49" s="31" t="str">
        <x:v>助教/AI整理初稿，你审核</x:v>
      </x:c>
      <x:c r="H49" s="31" t="str">
        <x:v>以基础工具和标准知识为主，可先整理标准化材料，再由课程负责人检查口径和示例。</x:v>
      </x:c>
      <x:c r="I49" s="31" t="str">
        <x:v>原理讲解＋工程案例＋检查题</x:v>
      </x:c>
      <x:c r="J49" s="31" t="str">
        <x:v>讲稿、课件、示例、作业与答案</x:v>
      </x:c>
      <x:c r="K49" s="31" t="str">
        <x:v>按需</x:v>
      </x:c>
      <x:c r="L49" s="31" t="str">
        <x:v>待确认</x:v>
      </x:c>
      <x:c r="M49" s="31" t="str">
        <x:v>参考所属系列前序模块</x:v>
      </x:c>
      <x:c r="N49" s="31" t="str"/>
    </x:row>
    <x:row r="50" ht="42" customHeight="1">
      <x:c r="A50" s="31" t="str">
        <x:v>P4.05</x:v>
      </x:c>
      <x:c r="B50" s="31" t="str">
        <x:v>P</x:v>
      </x:c>
      <x:c r="C50" s="31" t="str">
        <x:v>P4</x:v>
      </x:c>
      <x:c r="D50" s="31" t="str">
        <x:v>面向电机控制工程的 C 语言基础</x:v>
      </x:c>
      <x:c r="E50" s="31" t="str">
        <x:v>头文件、源文件、声明、定义、公开函数与内部函数</x:v>
      </x:c>
      <x:c r="F50" s="31" t="str">
        <x:v>D｜助教/AI整理初稿，你审核</x:v>
      </x:c>
      <x:c r="G50" s="31" t="str">
        <x:v>助教/AI整理初稿，你审核</x:v>
      </x:c>
      <x:c r="H50" s="31" t="str">
        <x:v>以基础工具和标准知识为主，可先整理标准化材料，再由课程负责人检查口径和示例。</x:v>
      </x:c>
      <x:c r="I50" s="31" t="str">
        <x:v>原理讲解＋工程案例＋检查题</x:v>
      </x:c>
      <x:c r="J50" s="31" t="str">
        <x:v>讲稿、课件、示例、作业与答案</x:v>
      </x:c>
      <x:c r="K50" s="31" t="str">
        <x:v>按需</x:v>
      </x:c>
      <x:c r="L50" s="31" t="str">
        <x:v>待确认</x:v>
      </x:c>
      <x:c r="M50" s="31" t="str">
        <x:v>参考所属系列前序模块</x:v>
      </x:c>
      <x:c r="N50" s="31" t="str"/>
    </x:row>
    <x:row r="51" ht="42" customHeight="1">
      <x:c r="A51" s="31" t="str">
        <x:v>P4.06</x:v>
      </x:c>
      <x:c r="B51" s="31" t="str">
        <x:v>P</x:v>
      </x:c>
      <x:c r="C51" s="31" t="str">
        <x:v>P4</x:v>
      </x:c>
      <x:c r="D51" s="31" t="str">
        <x:v>面向电机控制工程的 C 语言基础</x:v>
      </x:c>
      <x:c r="E51" s="31" t="str">
        <x:v>枚举、状态、故障码与 switch 状态程序</x:v>
      </x:c>
      <x:c r="F51" s="31" t="str">
        <x:v>D｜助教/AI整理初稿，你审核</x:v>
      </x:c>
      <x:c r="G51" s="31" t="str">
        <x:v>助教/AI整理初稿，你审核</x:v>
      </x:c>
      <x:c r="H51" s="31" t="str">
        <x:v>以基础工具和标准知识为主，可先整理标准化材料，再由课程负责人检查口径和示例。</x:v>
      </x:c>
      <x:c r="I51" s="31" t="str">
        <x:v>方法讲解＋实测数据＋问题复盘</x:v>
      </x:c>
      <x:c r="J51" s="31" t="str">
        <x:v>讲稿、可运行代码、配置说明、最小测试</x:v>
      </x:c>
      <x:c r="K51" s="31" t="str">
        <x:v>按需</x:v>
      </x:c>
      <x:c r="L51" s="31" t="str">
        <x:v>待确认</x:v>
      </x:c>
      <x:c r="M51" s="31" t="str">
        <x:v>参考所属系列前序模块</x:v>
      </x:c>
      <x:c r="N51" s="31" t="str"/>
    </x:row>
    <x:row r="52" ht="42" customHeight="1">
      <x:c r="A52" s="31" t="str">
        <x:v>P4.07</x:v>
      </x:c>
      <x:c r="B52" s="31" t="str">
        <x:v>P</x:v>
      </x:c>
      <x:c r="C52" s="31" t="str">
        <x:v>P4</x:v>
      </x:c>
      <x:c r="D52" s="31" t="str">
        <x:v>面向电机控制工程的 C 语言基础</x:v>
      </x:c>
      <x:c r="E52" s="31" t="str">
        <x:v>Init、Reset、Step 与周期算法的基本组织方式</x:v>
      </x:c>
      <x:c r="F52" s="31" t="str">
        <x:v>D｜助教/AI整理初稿，你审核</x:v>
      </x:c>
      <x:c r="G52" s="31" t="str">
        <x:v>助教/AI整理初稿，你审核</x:v>
      </x:c>
      <x:c r="H52" s="31" t="str">
        <x:v>以基础工具和标准知识为主，可先整理标准化材料，再由课程负责人检查口径和示例。</x:v>
      </x:c>
      <x:c r="I52" s="31" t="str">
        <x:v>原理讲解＋工程案例＋检查题</x:v>
      </x:c>
      <x:c r="J52" s="31" t="str">
        <x:v>讲稿、课件、示例、作业与答案</x:v>
      </x:c>
      <x:c r="K52" s="31" t="str">
        <x:v>按需</x:v>
      </x:c>
      <x:c r="L52" s="31" t="str">
        <x:v>待确认</x:v>
      </x:c>
      <x:c r="M52" s="31" t="str">
        <x:v>参考所属系列前序模块</x:v>
      </x:c>
      <x:c r="N52" s="31" t="str"/>
    </x:row>
    <x:row r="53" ht="42" customHeight="1">
      <x:c r="A53" s="31" t="str">
        <x:v>P4.08</x:v>
      </x:c>
      <x:c r="B53" s="31" t="str">
        <x:v>P</x:v>
      </x:c>
      <x:c r="C53" s="31" t="str">
        <x:v>P4</x:v>
      </x:c>
      <x:c r="D53" s="31" t="str">
        <x:v>面向电机控制工程的 C 语言基础</x:v>
      </x:c>
      <x:c r="E53" s="31" t="str">
        <x:v>volatile、中断共享数据、临界区与数据快照</x:v>
      </x:c>
      <x:c r="F53" s="31" t="str">
        <x:v>D｜助教/AI整理初稿，你审核</x:v>
      </x:c>
      <x:c r="G53" s="31" t="str">
        <x:v>助教/AI整理初稿，你审核</x:v>
      </x:c>
      <x:c r="H53" s="31" t="str">
        <x:v>以基础工具和标准知识为主，可先整理标准化材料，再由课程负责人检查口径和示例。</x:v>
      </x:c>
      <x:c r="I53" s="31" t="str">
        <x:v>原理讲解＋工程案例＋检查题</x:v>
      </x:c>
      <x:c r="J53" s="31" t="str">
        <x:v>讲稿、课件、示例、作业与答案</x:v>
      </x:c>
      <x:c r="K53" s="31" t="str">
        <x:v>按需</x:v>
      </x:c>
      <x:c r="L53" s="31" t="str">
        <x:v>待确认</x:v>
      </x:c>
      <x:c r="M53" s="31" t="str">
        <x:v>参考所属系列前序模块</x:v>
      </x:c>
      <x:c r="N53" s="31" t="str"/>
    </x:row>
    <x:row r="54" ht="42" customHeight="1">
      <x:c r="A54" s="31" t="str">
        <x:v>P4.09</x:v>
      </x:c>
      <x:c r="B54" s="31" t="str">
        <x:v>P</x:v>
      </x:c>
      <x:c r="C54" s="31" t="str">
        <x:v>P4</x:v>
      </x:c>
      <x:c r="D54" s="31" t="str">
        <x:v>面向电机控制工程的 C 语言基础</x:v>
      </x:c>
      <x:c r="E54" s="31" t="str">
        <x:v>位运算、寄存器操作、掩码、状态位与通信数据拆装</x:v>
      </x:c>
      <x:c r="F54" s="31" t="str">
        <x:v>D｜助教/AI整理初稿，你审核</x:v>
      </x:c>
      <x:c r="G54" s="31" t="str">
        <x:v>助教/AI整理初稿，你审核</x:v>
      </x:c>
      <x:c r="H54" s="31" t="str">
        <x:v>以基础工具和标准知识为主，可先整理标准化材料，再由课程负责人检查口径和示例。</x:v>
      </x:c>
      <x:c r="I54" s="31" t="str">
        <x:v>原理＋代码演示＋最小练习</x:v>
      </x:c>
      <x:c r="J54" s="31" t="str">
        <x:v>讲稿、可运行代码、配置说明、最小测试</x:v>
      </x:c>
      <x:c r="K54" s="31" t="str">
        <x:v>按需</x:v>
      </x:c>
      <x:c r="L54" s="31" t="str">
        <x:v>待确认</x:v>
      </x:c>
      <x:c r="M54" s="31" t="str">
        <x:v>参考所属系列前序模块</x:v>
      </x:c>
      <x:c r="N54" s="31" t="str"/>
    </x:row>
    <x:row r="55" ht="42" customHeight="1">
      <x:c r="A55" s="31" t="str">
        <x:v>P4.10</x:v>
      </x:c>
      <x:c r="B55" s="31" t="str">
        <x:v>P</x:v>
      </x:c>
      <x:c r="C55" s="31" t="str">
        <x:v>P4</x:v>
      </x:c>
      <x:c r="D55" s="31" t="str">
        <x:v>面向电机控制工程的 C 语言基础</x:v>
      </x:c>
      <x:c r="E55" s="31" t="str">
        <x:v>数组越界、未初始化、除零、溢出、NaN 与编译警告</x:v>
      </x:c>
      <x:c r="F55" s="31" t="str">
        <x:v>D｜助教/AI整理初稿，你审核</x:v>
      </x:c>
      <x:c r="G55" s="31" t="str">
        <x:v>助教/AI整理初稿，你审核</x:v>
      </x:c>
      <x:c r="H55" s="31" t="str">
        <x:v>以基础工具和标准知识为主，可先整理标准化材料，再由课程负责人检查口径和示例。</x:v>
      </x:c>
      <x:c r="I55" s="31" t="str">
        <x:v>原理讲解＋工程案例＋检查题</x:v>
      </x:c>
      <x:c r="J55" s="31" t="str">
        <x:v>讲稿、课件、示例、作业与答案</x:v>
      </x:c>
      <x:c r="K55" s="31" t="str">
        <x:v>按需</x:v>
      </x:c>
      <x:c r="L55" s="31" t="str">
        <x:v>待确认</x:v>
      </x:c>
      <x:c r="M55" s="31" t="str">
        <x:v>参考所属系列前序模块</x:v>
      </x:c>
      <x:c r="N55" s="31" t="str"/>
    </x:row>
    <x:row r="56" ht="42" customHeight="1">
      <x:c r="A56" s="31" t="str">
        <x:v>P4.11</x:v>
      </x:c>
      <x:c r="B56" s="31" t="str">
        <x:v>P</x:v>
      </x:c>
      <x:c r="C56" s="31" t="str">
        <x:v>P4</x:v>
      </x:c>
      <x:c r="D56" s="31" t="str">
        <x:v>面向电机控制工程的 C 语言基础</x:v>
      </x:c>
      <x:c r="E56" s="31" t="str">
        <x:v>断点、Watch、Memory、Call Stack 与变量变化观察</x:v>
      </x:c>
      <x:c r="F56" s="31" t="str">
        <x:v>D｜助教/AI整理初稿，你审核</x:v>
      </x:c>
      <x:c r="G56" s="31" t="str">
        <x:v>助教/AI整理初稿，你审核</x:v>
      </x:c>
      <x:c r="H56" s="31" t="str">
        <x:v>以基础工具和标准知识为主，可先整理标准化材料，再由课程负责人检查口径和示例。</x:v>
      </x:c>
      <x:c r="I56" s="31" t="str">
        <x:v>原理讲解＋工程案例＋检查题</x:v>
      </x:c>
      <x:c r="J56" s="31" t="str">
        <x:v>讲稿、课件、示例、作业与答案</x:v>
      </x:c>
      <x:c r="K56" s="31" t="str">
        <x:v>按需</x:v>
      </x:c>
      <x:c r="L56" s="31" t="str">
        <x:v>待确认</x:v>
      </x:c>
      <x:c r="M56" s="31" t="str">
        <x:v>参考所属系列前序模块</x:v>
      </x:c>
      <x:c r="N56" s="31" t="str"/>
    </x:row>
    <x:row r="57" ht="42" customHeight="1">
      <x:c r="A57" s="31" t="str">
        <x:v>P4.12</x:v>
      </x:c>
      <x:c r="B57" s="31" t="str">
        <x:v>P</x:v>
      </x:c>
      <x:c r="C57" s="31" t="str">
        <x:v>P4</x:v>
      </x:c>
      <x:c r="D57" s="31" t="str">
        <x:v>面向电机控制工程的 C 语言基础</x:v>
      </x:c>
      <x:c r="E57" s="31" t="str">
        <x:v>使用简单测试输入检查计算函数、状态程序与边界条件</x:v>
      </x:c>
      <x:c r="F57" s="31" t="str">
        <x:v>D｜助教/AI整理初稿，你审核</x:v>
      </x:c>
      <x:c r="G57" s="31" t="str">
        <x:v>助教/AI整理初稿，你审核</x:v>
      </x:c>
      <x:c r="H57" s="31" t="str">
        <x:v>以基础工具和标准知识为主，可先整理标准化材料，再由课程负责人检查口径和示例。</x:v>
      </x:c>
      <x:c r="I57" s="31" t="str">
        <x:v>方法讲解＋实测数据＋问题复盘</x:v>
      </x:c>
      <x:c r="J57" s="31" t="str">
        <x:v>讲稿、实验步骤、原始数据、处理脚本、结果说明</x:v>
      </x:c>
      <x:c r="K57" s="31" t="str">
        <x:v>按需</x:v>
      </x:c>
      <x:c r="L57" s="31" t="str">
        <x:v>待确认</x:v>
      </x:c>
      <x:c r="M57" s="31" t="str">
        <x:v>参考所属系列前序模块</x:v>
      </x:c>
      <x:c r="N57" s="31" t="str"/>
    </x:row>
    <x:row r="58" ht="42" customHeight="1">
      <x:c r="A58" s="31" t="str">
        <x:v>P5.01</x:v>
      </x:c>
      <x:c r="B58" s="31" t="str">
        <x:v>P</x:v>
      </x:c>
      <x:c r="C58" s="31" t="str">
        <x:v>P5</x:v>
      </x:c>
      <x:c r="D58" s="31" t="str">
        <x:v>MCU、基础外设与实时程序入门</x:v>
      </x:c>
      <x:c r="E58" s="31" t="str">
        <x:v>CPU、Flash、RAM、寄存器、中断与程序运行过程</x:v>
      </x:c>
      <x:c r="F58" s="31" t="str">
        <x:v>D｜助教/AI整理初稿，你审核</x:v>
      </x:c>
      <x:c r="G58" s="31" t="str">
        <x:v>助教/AI整理初稿，你审核</x:v>
      </x:c>
      <x:c r="H58" s="31" t="str">
        <x:v>以基础工具和标准知识为主，可先整理标准化材料，再由课程负责人检查口径和示例。</x:v>
      </x:c>
      <x:c r="I58" s="31" t="str">
        <x:v>原理＋代码演示＋最小练习</x:v>
      </x:c>
      <x:c r="J58" s="31" t="str">
        <x:v>讲稿、可运行代码、配置说明、最小测试</x:v>
      </x:c>
      <x:c r="K58" s="31" t="str">
        <x:v>按需</x:v>
      </x:c>
      <x:c r="L58" s="31" t="str">
        <x:v>待确认</x:v>
      </x:c>
      <x:c r="M58" s="31" t="str">
        <x:v>参考所属系列前序模块</x:v>
      </x:c>
      <x:c r="N58" s="31" t="str"/>
    </x:row>
    <x:row r="59" ht="42" customHeight="1">
      <x:c r="A59" s="31" t="str">
        <x:v>P5.02</x:v>
      </x:c>
      <x:c r="B59" s="31" t="str">
        <x:v>P</x:v>
      </x:c>
      <x:c r="C59" s="31" t="str">
        <x:v>P5</x:v>
      </x:c>
      <x:c r="D59" s="31" t="str">
        <x:v>MCU、基础外设与实时程序入门</x:v>
      </x:c>
      <x:c r="E59" s="31" t="str">
        <x:v>系统时钟、总线分频、外设时钟与时钟树检查</x:v>
      </x:c>
      <x:c r="F59" s="31" t="str">
        <x:v>D｜助教/AI整理初稿，你审核</x:v>
      </x:c>
      <x:c r="G59" s="31" t="str">
        <x:v>助教/AI整理初稿，你审核</x:v>
      </x:c>
      <x:c r="H59" s="31" t="str">
        <x:v>以基础工具和标准知识为主，可先整理标准化材料，再由课程负责人检查口径和示例。</x:v>
      </x:c>
      <x:c r="I59" s="31" t="str">
        <x:v>原理讲解＋工程案例＋检查题</x:v>
      </x:c>
      <x:c r="J59" s="31" t="str">
        <x:v>讲稿、课件、示例、作业与答案</x:v>
      </x:c>
      <x:c r="K59" s="31" t="str">
        <x:v>按需</x:v>
      </x:c>
      <x:c r="L59" s="31" t="str">
        <x:v>待确认</x:v>
      </x:c>
      <x:c r="M59" s="31" t="str">
        <x:v>参考所属系列前序模块</x:v>
      </x:c>
      <x:c r="N59" s="31" t="str"/>
    </x:row>
    <x:row r="60" ht="42" customHeight="1">
      <x:c r="A60" s="31" t="str">
        <x:v>P5.03</x:v>
      </x:c>
      <x:c r="B60" s="31" t="str">
        <x:v>P</x:v>
      </x:c>
      <x:c r="C60" s="31" t="str">
        <x:v>P5</x:v>
      </x:c>
      <x:c r="D60" s="31" t="str">
        <x:v>MCU、基础外设与实时程序入门</x:v>
      </x:c>
      <x:c r="E60" s="31" t="str">
        <x:v>GPIO 输入输出、复用、上拉、下拉、推挽、开漏与安全电平</x:v>
      </x:c>
      <x:c r="F60" s="31" t="str">
        <x:v>D｜助教/AI整理初稿，你审核</x:v>
      </x:c>
      <x:c r="G60" s="31" t="str">
        <x:v>助教/AI整理初稿，你审核</x:v>
      </x:c>
      <x:c r="H60" s="31" t="str">
        <x:v>以基础工具和标准知识为主，可先整理标准化材料，再由课程负责人检查口径和示例。</x:v>
      </x:c>
      <x:c r="I60" s="31" t="str">
        <x:v>原理讲解＋工程案例＋检查题</x:v>
      </x:c>
      <x:c r="J60" s="31" t="str">
        <x:v>讲稿、课件、示例、作业与答案</x:v>
      </x:c>
      <x:c r="K60" s="31" t="str">
        <x:v>按需</x:v>
      </x:c>
      <x:c r="L60" s="31" t="str">
        <x:v>待确认</x:v>
      </x:c>
      <x:c r="M60" s="31" t="str">
        <x:v>参考所属系列前序模块</x:v>
      </x:c>
      <x:c r="N60" s="31" t="str"/>
    </x:row>
    <x:row r="61" ht="42" customHeight="1">
      <x:c r="A61" s="31" t="str">
        <x:v>P5.04</x:v>
      </x:c>
      <x:c r="B61" s="31" t="str">
        <x:v>P</x:v>
      </x:c>
      <x:c r="C61" s="31" t="str">
        <x:v>P5</x:v>
      </x:c>
      <x:c r="D61" s="31" t="str">
        <x:v>MCU、基础外设与实时程序入门</x:v>
      </x:c>
      <x:c r="E61" s="31" t="str">
        <x:v>定时器计数、周期、比较、更新事件与基础 PWM</x:v>
      </x:c>
      <x:c r="F61" s="31" t="str">
        <x:v>D｜助教/AI整理初稿，你审核</x:v>
      </x:c>
      <x:c r="G61" s="31" t="str">
        <x:v>助教/AI整理初稿，你审核</x:v>
      </x:c>
      <x:c r="H61" s="31" t="str">
        <x:v>以基础工具和标准知识为主，可先整理标准化材料，再由课程负责人检查口径和示例。</x:v>
      </x:c>
      <x:c r="I61" s="31" t="str">
        <x:v>原理讲解＋工程案例＋检查题</x:v>
      </x:c>
      <x:c r="J61" s="31" t="str">
        <x:v>讲稿、课件、示例、作业与答案</x:v>
      </x:c>
      <x:c r="K61" s="31" t="str">
        <x:v>按需</x:v>
      </x:c>
      <x:c r="L61" s="31" t="str">
        <x:v>待确认</x:v>
      </x:c>
      <x:c r="M61" s="31" t="str">
        <x:v>参考所属系列前序模块</x:v>
      </x:c>
      <x:c r="N61" s="31" t="str"/>
    </x:row>
    <x:row r="62" ht="42" customHeight="1">
      <x:c r="A62" s="31" t="str">
        <x:v>P5.05</x:v>
      </x:c>
      <x:c r="B62" s="31" t="str">
        <x:v>P</x:v>
      </x:c>
      <x:c r="C62" s="31" t="str">
        <x:v>P5</x:v>
      </x:c>
      <x:c r="D62" s="31" t="str">
        <x:v>MCU、基础外设与实时程序入门</x:v>
      </x:c>
      <x:c r="E62" s="31" t="str">
        <x:v>边沿对齐、中心对齐、占空比、互补输出与死区概念</x:v>
      </x:c>
      <x:c r="F62" s="31" t="str">
        <x:v>D｜助教/AI整理初稿，你审核</x:v>
      </x:c>
      <x:c r="G62" s="31" t="str">
        <x:v>助教/AI整理初稿，你审核</x:v>
      </x:c>
      <x:c r="H62" s="31" t="str">
        <x:v>以基础工具和标准知识为主，可先整理标准化材料，再由课程负责人检查口径和示例。</x:v>
      </x:c>
      <x:c r="I62" s="31" t="str">
        <x:v>原理讲解＋工程案例＋检查题</x:v>
      </x:c>
      <x:c r="J62" s="31" t="str">
        <x:v>讲稿、课件、示例、作业与答案</x:v>
      </x:c>
      <x:c r="K62" s="31" t="str">
        <x:v>按需</x:v>
      </x:c>
      <x:c r="L62" s="31" t="str">
        <x:v>待确认</x:v>
      </x:c>
      <x:c r="M62" s="31" t="str">
        <x:v>参考所属系列前序模块</x:v>
      </x:c>
      <x:c r="N62" s="31" t="str"/>
    </x:row>
    <x:row r="63" ht="42" customHeight="1">
      <x:c r="A63" s="31" t="str">
        <x:v>P5.06</x:v>
      </x:c>
      <x:c r="B63" s="31" t="str">
        <x:v>P</x:v>
      </x:c>
      <x:c r="C63" s="31" t="str">
        <x:v>P5</x:v>
      </x:c>
      <x:c r="D63" s="31" t="str">
        <x:v>MCU、基础外设与实时程序入门</x:v>
      </x:c>
      <x:c r="E63" s="31" t="str">
        <x:v>ADC 分辨率、参考电压、采样保持、转换时间与触发源</x:v>
      </x:c>
      <x:c r="F63" s="31" t="str">
        <x:v>D｜助教/AI整理初稿，你审核</x:v>
      </x:c>
      <x:c r="G63" s="31" t="str">
        <x:v>助教/AI整理初稿，你审核</x:v>
      </x:c>
      <x:c r="H63" s="31" t="str">
        <x:v>以基础工具和标准知识为主，可先整理标准化材料，再由课程负责人检查口径和示例。</x:v>
      </x:c>
      <x:c r="I63" s="31" t="str">
        <x:v>原理图/计算＋板级测试</x:v>
      </x:c>
      <x:c r="J63" s="31" t="str">
        <x:v>讲稿、课件、示例、作业与答案</x:v>
      </x:c>
      <x:c r="K63" s="31" t="str">
        <x:v>按需</x:v>
      </x:c>
      <x:c r="L63" s="31" t="str">
        <x:v>待确认</x:v>
      </x:c>
      <x:c r="M63" s="31" t="str">
        <x:v>参考所属系列前序模块</x:v>
      </x:c>
      <x:c r="N63" s="31" t="str"/>
    </x:row>
    <x:row r="64" ht="42" customHeight="1">
      <x:c r="A64" s="31" t="str">
        <x:v>P5.07</x:v>
      </x:c>
      <x:c r="B64" s="31" t="str">
        <x:v>P</x:v>
      </x:c>
      <x:c r="C64" s="31" t="str">
        <x:v>P5</x:v>
      </x:c>
      <x:c r="D64" s="31" t="str">
        <x:v>MCU、基础外设与实时程序入门</x:v>
      </x:c>
      <x:c r="E64" s="31" t="str">
        <x:v>规则组、注入组、扫描顺序、DMA 缓冲与完成中断</x:v>
      </x:c>
      <x:c r="F64" s="31" t="str">
        <x:v>D｜助教/AI整理初稿，你审核</x:v>
      </x:c>
      <x:c r="G64" s="31" t="str">
        <x:v>助教/AI整理初稿，你审核</x:v>
      </x:c>
      <x:c r="H64" s="31" t="str">
        <x:v>以基础工具和标准知识为主，可先整理标准化材料，再由课程负责人检查口径和示例。</x:v>
      </x:c>
      <x:c r="I64" s="31" t="str">
        <x:v>原理讲解＋工程案例＋检查题</x:v>
      </x:c>
      <x:c r="J64" s="31" t="str">
        <x:v>讲稿、课件、示例、作业与答案</x:v>
      </x:c>
      <x:c r="K64" s="31" t="str">
        <x:v>按需</x:v>
      </x:c>
      <x:c r="L64" s="31" t="str">
        <x:v>待确认</x:v>
      </x:c>
      <x:c r="M64" s="31" t="str">
        <x:v>参考所属系列前序模块</x:v>
      </x:c>
      <x:c r="N64" s="31" t="str"/>
    </x:row>
    <x:row r="65" ht="42" customHeight="1">
      <x:c r="A65" s="31" t="str">
        <x:v>P5.08</x:v>
      </x:c>
      <x:c r="B65" s="31" t="str">
        <x:v>P</x:v>
      </x:c>
      <x:c r="C65" s="31" t="str">
        <x:v>P5</x:v>
      </x:c>
      <x:c r="D65" s="31" t="str">
        <x:v>MCU、基础外设与实时程序入门</x:v>
      </x:c>
      <x:c r="E65" s="31" t="str">
        <x:v>UART、SPI、I²C、CAN/FDCAN 的基本通信过程</x:v>
      </x:c>
      <x:c r="F65" s="31" t="str">
        <x:v>D｜助教/AI整理初稿，你审核</x:v>
      </x:c>
      <x:c r="G65" s="31" t="str">
        <x:v>助教/AI整理初稿，你审核</x:v>
      </x:c>
      <x:c r="H65" s="31" t="str">
        <x:v>以基础工具和标准知识为主，可先整理标准化材料，再由课程负责人检查口径和示例。</x:v>
      </x:c>
      <x:c r="I65" s="31" t="str">
        <x:v>原理＋代码演示＋最小练习</x:v>
      </x:c>
      <x:c r="J65" s="31" t="str">
        <x:v>讲稿、可运行代码、配置说明、最小测试</x:v>
      </x:c>
      <x:c r="K65" s="31" t="str">
        <x:v>按需</x:v>
      </x:c>
      <x:c r="L65" s="31" t="str">
        <x:v>待确认</x:v>
      </x:c>
      <x:c r="M65" s="31" t="str">
        <x:v>参考所属系列前序模块</x:v>
      </x:c>
      <x:c r="N65" s="31" t="str"/>
    </x:row>
    <x:row r="66" ht="42" customHeight="1">
      <x:c r="A66" s="31" t="str">
        <x:v>P5.09</x:v>
      </x:c>
      <x:c r="B66" s="31" t="str">
        <x:v>P</x:v>
      </x:c>
      <x:c r="C66" s="31" t="str">
        <x:v>P5</x:v>
      </x:c>
      <x:c r="D66" s="31" t="str">
        <x:v>MCU、基础外设与实时程序入门</x:v>
      </x:c>
      <x:c r="E66" s="31" t="str">
        <x:v>中断优先级、执行时间、延迟、抖动与阻塞程序影响</x:v>
      </x:c>
      <x:c r="F66" s="31" t="str">
        <x:v>D｜助教/AI整理初稿，你审核</x:v>
      </x:c>
      <x:c r="G66" s="31" t="str">
        <x:v>助教/AI整理初稿，你审核</x:v>
      </x:c>
      <x:c r="H66" s="31" t="str">
        <x:v>以基础工具和标准知识为主，可先整理标准化材料，再由课程负责人检查口径和示例。</x:v>
      </x:c>
      <x:c r="I66" s="31" t="str">
        <x:v>原理＋代码演示＋最小练习</x:v>
      </x:c>
      <x:c r="J66" s="31" t="str">
        <x:v>讲稿、可运行代码、配置说明、最小测试</x:v>
      </x:c>
      <x:c r="K66" s="31" t="str">
        <x:v>按需</x:v>
      </x:c>
      <x:c r="L66" s="31" t="str">
        <x:v>待确认</x:v>
      </x:c>
      <x:c r="M66" s="31" t="str">
        <x:v>参考所属系列前序模块</x:v>
      </x:c>
      <x:c r="N66" s="31" t="str"/>
    </x:row>
    <x:row r="67" ht="42" customHeight="1">
      <x:c r="A67" s="31" t="str">
        <x:v>P5.10</x:v>
      </x:c>
      <x:c r="B67" s="31" t="str">
        <x:v>P</x:v>
      </x:c>
      <x:c r="C67" s="31" t="str">
        <x:v>P5</x:v>
      </x:c>
      <x:c r="D67" s="31" t="str">
        <x:v>MCU、基础外设与实时程序入门</x:v>
      </x:c>
      <x:c r="E67" s="31" t="str">
        <x:v>使用 GPIO 脉冲和示波器测量中断周期与执行时间</x:v>
      </x:c>
      <x:c r="F67" s="31" t="str">
        <x:v>D｜助教/AI整理初稿，你审核</x:v>
      </x:c>
      <x:c r="G67" s="31" t="str">
        <x:v>助教/AI整理初稿，你审核</x:v>
      </x:c>
      <x:c r="H67" s="31" t="str">
        <x:v>以基础工具和标准知识为主，可先整理标准化材料，再由课程负责人检查口径和示例。</x:v>
      </x:c>
      <x:c r="I67" s="31" t="str">
        <x:v>原理讲解＋工程案例＋检查题</x:v>
      </x:c>
      <x:c r="J67" s="31" t="str">
        <x:v>讲稿、课件、示例、作业与答案</x:v>
      </x:c>
      <x:c r="K67" s="31" t="str">
        <x:v>按需</x:v>
      </x:c>
      <x:c r="L67" s="31" t="str">
        <x:v>待确认</x:v>
      </x:c>
      <x:c r="M67" s="31" t="str">
        <x:v>参考所属系列前序模块</x:v>
      </x:c>
      <x:c r="N67" s="31" t="str"/>
    </x:row>
    <x:row r="68" ht="42" customHeight="1">
      <x:c r="A68" s="31" t="str">
        <x:v>P5.11</x:v>
      </x:c>
      <x:c r="B68" s="31" t="str">
        <x:v>P</x:v>
      </x:c>
      <x:c r="C68" s="31" t="str">
        <x:v>P5</x:v>
      </x:c>
      <x:c r="D68" s="31" t="str">
        <x:v>MCU、基础外设与实时程序入门</x:v>
      </x:c>
      <x:c r="E68" s="31" t="str">
        <x:v>看门狗、复位原因、HardFault、错误记录与安全停止</x:v>
      </x:c>
      <x:c r="F68" s="31" t="str">
        <x:v>D｜助教/AI整理初稿，你审核</x:v>
      </x:c>
      <x:c r="G68" s="31" t="str">
        <x:v>助教/AI整理初稿，你审核</x:v>
      </x:c>
      <x:c r="H68" s="31" t="str">
        <x:v>以基础工具和标准知识为主，可先整理标准化材料，再由课程负责人检查口径和示例。</x:v>
      </x:c>
      <x:c r="I68" s="31" t="str">
        <x:v>原理讲解＋工程案例＋检查题</x:v>
      </x:c>
      <x:c r="J68" s="31" t="str">
        <x:v>讲稿、课件、示例、作业与答案</x:v>
      </x:c>
      <x:c r="K68" s="31" t="str">
        <x:v>按需</x:v>
      </x:c>
      <x:c r="L68" s="31" t="str">
        <x:v>待确认</x:v>
      </x:c>
      <x:c r="M68" s="31" t="str">
        <x:v>参考所属系列前序模块</x:v>
      </x:c>
      <x:c r="N68" s="31" t="str"/>
    </x:row>
    <x:row r="69" ht="42" customHeight="1">
      <x:c r="A69" s="31" t="str">
        <x:v>P5.12</x:v>
      </x:c>
      <x:c r="B69" s="31" t="str">
        <x:v>P</x:v>
      </x:c>
      <x:c r="C69" s="31" t="str">
        <x:v>P5</x:v>
      </x:c>
      <x:c r="D69" s="31" t="str">
        <x:v>MCU、基础外设与实时程序入门</x:v>
      </x:c>
      <x:c r="E69" s="31" t="str">
        <x:v>建立 GPIO、PWM、ADC、DMA 和通信的基础综合工程</x:v>
      </x:c>
      <x:c r="F69" s="31" t="str">
        <x:v>D｜助教/AI整理初稿，你审核</x:v>
      </x:c>
      <x:c r="G69" s="31" t="str">
        <x:v>助教/AI整理初稿，你审核</x:v>
      </x:c>
      <x:c r="H69" s="31" t="str">
        <x:v>以基础工具和标准知识为主，可先整理标准化材料，再由课程负责人检查口径和示例。</x:v>
      </x:c>
      <x:c r="I69" s="31" t="str">
        <x:v>原理图/计算＋板级测试</x:v>
      </x:c>
      <x:c r="J69" s="31" t="str">
        <x:v>讲稿、可运行代码、配置说明、最小测试</x:v>
      </x:c>
      <x:c r="K69" s="31" t="str">
        <x:v>按需</x:v>
      </x:c>
      <x:c r="L69" s="31" t="str">
        <x:v>待确认</x:v>
      </x:c>
      <x:c r="M69" s="31" t="str">
        <x:v>参考所属系列前序模块</x:v>
      </x:c>
      <x:c r="N69" s="31" t="str"/>
    </x:row>
    <x:row r="70" ht="42" customHeight="1">
      <x:c r="A70" s="31" t="str">
        <x:v>P6.01</x:v>
      </x:c>
      <x:c r="B70" s="31" t="str">
        <x:v>P</x:v>
      </x:c>
      <x:c r="C70" s="31" t="str">
        <x:v>P6</x:v>
      </x:c>
      <x:c r="D70" s="31" t="str">
        <x:v>PMSM、逆变器、采样与位置传感器基础</x:v>
      </x:c>
      <x:c r="E70" s="31" t="str">
        <x:v>直流电机、BLDC、PMSM、感应电机与同步磁阻电机基本区别</x:v>
      </x:c>
      <x:c r="F70" s="31" t="str">
        <x:v>B｜你主讲，专项老师补充</x:v>
      </x:c>
      <x:c r="G70" s="31" t="str">
        <x:v>你主讲，专项老师补充</x:v>
      </x:c>
      <x:c r="H70" s="31" t="str">
        <x:v>属于核心专项，课程负责人控制主线，再由有实机经验的老师补充算法细节和适用边界。</x:v>
      </x:c>
      <x:c r="I70" s="31" t="str">
        <x:v>原理讲解＋工程案例＋检查题</x:v>
      </x:c>
      <x:c r="J70" s="31" t="str">
        <x:v>讲稿、课件、示例、作业与答案</x:v>
      </x:c>
      <x:c r="K70" s="31" t="str">
        <x:v>重要</x:v>
      </x:c>
      <x:c r="L70" s="31" t="str">
        <x:v>待确认</x:v>
      </x:c>
      <x:c r="M70" s="31" t="str">
        <x:v>参考所属系列前序模块</x:v>
      </x:c>
      <x:c r="N70" s="31" t="str"/>
    </x:row>
    <x:row r="71" ht="42" customHeight="1">
      <x:c r="A71" s="31" t="str">
        <x:v>P6.02</x:v>
      </x:c>
      <x:c r="B71" s="31" t="str">
        <x:v>P</x:v>
      </x:c>
      <x:c r="C71" s="31" t="str">
        <x:v>P6</x:v>
      </x:c>
      <x:c r="D71" s="31" t="str">
        <x:v>PMSM、逆变器、采样与位置传感器基础</x:v>
      </x:c>
      <x:c r="E71" s="31" t="str">
        <x:v>PMSM 定子、永磁转子、SPM、IPM、磁极与极对数</x:v>
      </x:c>
      <x:c r="F71" s="31" t="str">
        <x:v>B｜你主讲，专项老师补充</x:v>
      </x:c>
      <x:c r="G71" s="31" t="str">
        <x:v>你主讲，专项老师补充</x:v>
      </x:c>
      <x:c r="H71" s="31" t="str">
        <x:v>属于核心专项，课程负责人控制主线，再由有实机经验的老师补充算法细节和适用边界。</x:v>
      </x:c>
      <x:c r="I71" s="31" t="str">
        <x:v>原理讲解＋工程案例＋检查题</x:v>
      </x:c>
      <x:c r="J71" s="31" t="str">
        <x:v>讲稿、课件、示例、作业与答案</x:v>
      </x:c>
      <x:c r="K71" s="31" t="str">
        <x:v>重要</x:v>
      </x:c>
      <x:c r="L71" s="31" t="str">
        <x:v>待确认</x:v>
      </x:c>
      <x:c r="M71" s="31" t="str">
        <x:v>参考所属系列前序模块</x:v>
      </x:c>
      <x:c r="N71" s="31" t="str"/>
    </x:row>
    <x:row r="72" ht="42" customHeight="1">
      <x:c r="A72" s="31" t="str">
        <x:v>P6.03</x:v>
      </x:c>
      <x:c r="B72" s="31" t="str">
        <x:v>P</x:v>
      </x:c>
      <x:c r="C72" s="31" t="str">
        <x:v>P6</x:v>
      </x:c>
      <x:c r="D72" s="31" t="str">
        <x:v>PMSM、逆变器、采样与位置传感器基础</x:v>
      </x:c>
      <x:c r="E72" s="31" t="str">
        <x:v>机械角、机械速度、电角度、电角速度与旋转方向</x:v>
      </x:c>
      <x:c r="F72" s="31" t="str">
        <x:v>B｜你主讲，专项老师补充</x:v>
      </x:c>
      <x:c r="G72" s="31" t="str">
        <x:v>你主讲，专项老师补充</x:v>
      </x:c>
      <x:c r="H72" s="31" t="str">
        <x:v>属于核心专项，课程负责人控制主线，再由有实机经验的老师补充算法细节和适用边界。</x:v>
      </x:c>
      <x:c r="I72" s="31" t="str">
        <x:v>原理讲解＋工程案例＋检查题</x:v>
      </x:c>
      <x:c r="J72" s="31" t="str">
        <x:v>讲稿、课件、示例、作业与答案</x:v>
      </x:c>
      <x:c r="K72" s="31" t="str">
        <x:v>重要</x:v>
      </x:c>
      <x:c r="L72" s="31" t="str">
        <x:v>待确认</x:v>
      </x:c>
      <x:c r="M72" s="31" t="str">
        <x:v>参考所属系列前序模块</x:v>
      </x:c>
      <x:c r="N72" s="31" t="str"/>
    </x:row>
    <x:row r="73" ht="42" customHeight="1">
      <x:c r="A73" s="31" t="str">
        <x:v>P6.04</x:v>
      </x:c>
      <x:c r="B73" s="31" t="str">
        <x:v>P</x:v>
      </x:c>
      <x:c r="C73" s="31" t="str">
        <x:v>P6</x:v>
      </x:c>
      <x:c r="D73" s="31" t="str">
        <x:v>PMSM、逆变器、采样与位置传感器基础</x:v>
      </x:c>
      <x:c r="E73" s="31" t="str">
        <x:v>定子电流、旋转磁场、转子磁场与电磁转矩的形成</x:v>
      </x:c>
      <x:c r="F73" s="31" t="str">
        <x:v>B｜你主讲，专项老师补充</x:v>
      </x:c>
      <x:c r="G73" s="31" t="str">
        <x:v>你主讲，专项老师补充</x:v>
      </x:c>
      <x:c r="H73" s="31" t="str">
        <x:v>属于核心专项，课程负责人控制主线，再由有实机经验的老师补充算法细节和适用边界。</x:v>
      </x:c>
      <x:c r="I73" s="31" t="str">
        <x:v>原理讲解＋工程案例＋检查题</x:v>
      </x:c>
      <x:c r="J73" s="31" t="str">
        <x:v>讲稿、课件、示例、作业与答案</x:v>
      </x:c>
      <x:c r="K73" s="31" t="str">
        <x:v>重要</x:v>
      </x:c>
      <x:c r="L73" s="31" t="str">
        <x:v>待确认</x:v>
      </x:c>
      <x:c r="M73" s="31" t="str">
        <x:v>参考所属系列前序模块</x:v>
      </x:c>
      <x:c r="N73" s="31" t="str"/>
    </x:row>
    <x:row r="74" ht="42" customHeight="1">
      <x:c r="A74" s="31" t="str">
        <x:v>P6.05</x:v>
      </x:c>
      <x:c r="B74" s="31" t="str">
        <x:v>P</x:v>
      </x:c>
      <x:c r="C74" s="31" t="str">
        <x:v>P6</x:v>
      </x:c>
      <x:c r="D74" s="31" t="str">
        <x:v>PMSM、逆变器、采样与位置传感器基础</x:v>
      </x:c>
      <x:c r="E74" s="31" t="str">
        <x:v>转矩、负载、摩擦、惯量、加速度与机械功率关系</x:v>
      </x:c>
      <x:c r="F74" s="31" t="str">
        <x:v>B｜你主讲，专项老师补充</x:v>
      </x:c>
      <x:c r="G74" s="31" t="str">
        <x:v>你主讲，专项老师补充</x:v>
      </x:c>
      <x:c r="H74" s="31" t="str">
        <x:v>属于核心专项，课程负责人控制主线，再由有实机经验的老师补充算法细节和适用边界。</x:v>
      </x:c>
      <x:c r="I74" s="31" t="str">
        <x:v>原理讲解＋工程案例＋检查题</x:v>
      </x:c>
      <x:c r="J74" s="31" t="str">
        <x:v>讲稿、课件、示例、作业与答案</x:v>
      </x:c>
      <x:c r="K74" s="31" t="str">
        <x:v>重要</x:v>
      </x:c>
      <x:c r="L74" s="31" t="str">
        <x:v>待确认</x:v>
      </x:c>
      <x:c r="M74" s="31" t="str">
        <x:v>参考所属系列前序模块</x:v>
      </x:c>
      <x:c r="N74" s="31" t="str"/>
    </x:row>
    <x:row r="75" ht="42" customHeight="1">
      <x:c r="A75" s="31" t="str">
        <x:v>P6.06</x:v>
      </x:c>
      <x:c r="B75" s="31" t="str">
        <x:v>P</x:v>
      </x:c>
      <x:c r="C75" s="31" t="str">
        <x:v>P6</x:v>
      </x:c>
      <x:c r="D75" s="31" t="str">
        <x:v>PMSM、逆变器、采样与位置传感器基础</x:v>
      </x:c>
      <x:c r="E75" s="31" t="str">
        <x:v>三相桥、六个功率开关、桥臂、相电压与线电压</x:v>
      </x:c>
      <x:c r="F75" s="31" t="str">
        <x:v>B｜你主讲，专项老师补充</x:v>
      </x:c>
      <x:c r="G75" s="31" t="str">
        <x:v>你主讲，专项老师补充</x:v>
      </x:c>
      <x:c r="H75" s="31" t="str">
        <x:v>属于核心专项，课程负责人控制主线，再由有实机经验的老师补充算法细节和适用边界。</x:v>
      </x:c>
      <x:c r="I75" s="31" t="str">
        <x:v>原理讲解＋工程案例＋检查题</x:v>
      </x:c>
      <x:c r="J75" s="31" t="str">
        <x:v>讲稿、课件、示例、作业与答案</x:v>
      </x:c>
      <x:c r="K75" s="31" t="str">
        <x:v>重要</x:v>
      </x:c>
      <x:c r="L75" s="31" t="str">
        <x:v>待确认</x:v>
      </x:c>
      <x:c r="M75" s="31" t="str">
        <x:v>参考所属系列前序模块</x:v>
      </x:c>
      <x:c r="N75" s="31" t="str"/>
    </x:row>
    <x:row r="76" ht="42" customHeight="1">
      <x:c r="A76" s="31" t="str">
        <x:v>P6.07</x:v>
      </x:c>
      <x:c r="B76" s="31" t="str">
        <x:v>P</x:v>
      </x:c>
      <x:c r="C76" s="31" t="str">
        <x:v>P6</x:v>
      </x:c>
      <x:c r="D76" s="31" t="str">
        <x:v>PMSM、逆变器、采样与位置传感器基础</x:v>
      </x:c>
      <x:c r="E76" s="31" t="str">
        <x:v>PWM 平均电压、互补输出、死区、直通与 Gate Driver</x:v>
      </x:c>
      <x:c r="F76" s="31" t="str">
        <x:v>C｜专项老师主讲，你负责衔接与验收</x:v>
      </x:c>
      <x:c r="G76" s="31" t="str">
        <x:v>专项老师主讲，你负责课程衔接与验收</x:v>
      </x:c>
      <x:c r="H76" s="31" t="str">
        <x:v>需要较强的专项设计或产品化经验，建议由对应专家主讲，课程负责人负责与主线衔接。</x:v>
      </x:c>
      <x:c r="I76" s="31" t="str">
        <x:v>原理图/计算＋板级测试</x:v>
      </x:c>
      <x:c r="J76" s="31" t="str">
        <x:v>讲稿、原理图/计算、板级测试记录、检查清单</x:v>
      </x:c>
      <x:c r="K76" s="31" t="str">
        <x:v>重要</x:v>
      </x:c>
      <x:c r="L76" s="31" t="str">
        <x:v>待确认</x:v>
      </x:c>
      <x:c r="M76" s="31" t="str">
        <x:v>参考所属系列前序模块</x:v>
      </x:c>
      <x:c r="N76" s="31" t="str"/>
    </x:row>
    <x:row r="77" ht="42" customHeight="1">
      <x:c r="A77" s="31" t="str">
        <x:v>P6.08</x:v>
      </x:c>
      <x:c r="B77" s="31" t="str">
        <x:v>P</x:v>
      </x:c>
      <x:c r="C77" s="31" t="str">
        <x:v>P6</x:v>
      </x:c>
      <x:c r="D77" s="31" t="str">
        <x:v>PMSM、逆变器、采样与位置传感器基础</x:v>
      </x:c>
      <x:c r="E77" s="31" t="str">
        <x:v>直流母线、反电势、回馈、制动与母线过压</x:v>
      </x:c>
      <x:c r="F77" s="31" t="str">
        <x:v>B｜你主讲，专项老师补充</x:v>
      </x:c>
      <x:c r="G77" s="31" t="str">
        <x:v>你主讲，专项老师补充</x:v>
      </x:c>
      <x:c r="H77" s="31" t="str">
        <x:v>属于核心专项，课程负责人控制主线，再由有实机经验的老师补充算法细节和适用边界。</x:v>
      </x:c>
      <x:c r="I77" s="31" t="str">
        <x:v>原理讲解＋工程案例＋检查题</x:v>
      </x:c>
      <x:c r="J77" s="31" t="str">
        <x:v>讲稿、课件、示例、作业与答案</x:v>
      </x:c>
      <x:c r="K77" s="31" t="str">
        <x:v>重要</x:v>
      </x:c>
      <x:c r="L77" s="31" t="str">
        <x:v>待确认</x:v>
      </x:c>
      <x:c r="M77" s="31" t="str">
        <x:v>参考所属系列前序模块</x:v>
      </x:c>
      <x:c r="N77" s="31" t="str"/>
    </x:row>
    <x:row r="78" ht="42" customHeight="1">
      <x:c r="A78" s="31" t="str">
        <x:v>P6.09</x:v>
      </x:c>
      <x:c r="B78" s="31" t="str">
        <x:v>P</x:v>
      </x:c>
      <x:c r="C78" s="31" t="str">
        <x:v>P6</x:v>
      </x:c>
      <x:c r="D78" s="31" t="str">
        <x:v>PMSM、逆变器、采样与位置传感器基础</x:v>
      </x:c>
      <x:c r="E78" s="31" t="str">
        <x:v>Shunt、运放、ADC、偏置、增益、量程与电流方向</x:v>
      </x:c>
      <x:c r="F78" s="31" t="str">
        <x:v>B｜你主讲，专项老师补充</x:v>
      </x:c>
      <x:c r="G78" s="31" t="str">
        <x:v>你主讲，专项老师补充</x:v>
      </x:c>
      <x:c r="H78" s="31" t="str">
        <x:v>属于核心专项，课程负责人控制主线，再由有实机经验的老师补充算法细节和适用边界。</x:v>
      </x:c>
      <x:c r="I78" s="31" t="str">
        <x:v>原理图/计算＋板级测试</x:v>
      </x:c>
      <x:c r="J78" s="31" t="str">
        <x:v>讲稿、课件、示例、作业与答案</x:v>
      </x:c>
      <x:c r="K78" s="31" t="str">
        <x:v>重要</x:v>
      </x:c>
      <x:c r="L78" s="31" t="str">
        <x:v>待确认</x:v>
      </x:c>
      <x:c r="M78" s="31" t="str">
        <x:v>参考所属系列前序模块</x:v>
      </x:c>
      <x:c r="N78" s="31" t="str"/>
    </x:row>
    <x:row r="79" ht="42" customHeight="1">
      <x:c r="A79" s="31" t="str">
        <x:v>P6.10</x:v>
      </x:c>
      <x:c r="B79" s="31" t="str">
        <x:v>P</x:v>
      </x:c>
      <x:c r="C79" s="31" t="str">
        <x:v>P6</x:v>
      </x:c>
      <x:c r="D79" s="31" t="str">
        <x:v>PMSM、逆变器、采样与位置传感器基础</x:v>
      </x:c>
      <x:c r="E79" s="31" t="str">
        <x:v>两相/三相电流采样与第三相电流基本关系</x:v>
      </x:c>
      <x:c r="F79" s="31" t="str">
        <x:v>B｜你主讲，专项老师补充</x:v>
      </x:c>
      <x:c r="G79" s="31" t="str">
        <x:v>你主讲，专项老师补充</x:v>
      </x:c>
      <x:c r="H79" s="31" t="str">
        <x:v>属于核心专项，课程负责人控制主线，再由有实机经验的老师补充算法细节和适用边界。</x:v>
      </x:c>
      <x:c r="I79" s="31" t="str">
        <x:v>原理讲解＋工程案例＋检查题</x:v>
      </x:c>
      <x:c r="J79" s="31" t="str">
        <x:v>讲稿、课件、示例、作业与答案</x:v>
      </x:c>
      <x:c r="K79" s="31" t="str">
        <x:v>重要</x:v>
      </x:c>
      <x:c r="L79" s="31" t="str">
        <x:v>待确认</x:v>
      </x:c>
      <x:c r="M79" s="31" t="str">
        <x:v>参考所属系列前序模块</x:v>
      </x:c>
      <x:c r="N79" s="31" t="str"/>
    </x:row>
    <x:row r="80" ht="42" customHeight="1">
      <x:c r="A80" s="31" t="str">
        <x:v>P6.11</x:v>
      </x:c>
      <x:c r="B80" s="31" t="str">
        <x:v>P</x:v>
      </x:c>
      <x:c r="C80" s="31" t="str">
        <x:v>P6</x:v>
      </x:c>
      <x:c r="D80" s="31" t="str">
        <x:v>PMSM、逆变器、采样与位置传感器基础</x:v>
      </x:c>
      <x:c r="E80" s="31" t="str">
        <x:v>编码器、磁编码器、Hall、旋变、增量位置与绝对位置</x:v>
      </x:c>
      <x:c r="F80" s="31" t="str">
        <x:v>B｜你主讲，专项老师补充</x:v>
      </x:c>
      <x:c r="G80" s="31" t="str">
        <x:v>你主讲，专项老师补充</x:v>
      </x:c>
      <x:c r="H80" s="31" t="str">
        <x:v>属于核心专项，课程负责人控制主线，再由有实机经验的老师补充算法细节和适用边界。</x:v>
      </x:c>
      <x:c r="I80" s="31" t="str">
        <x:v>原理讲解＋工程案例＋检查题</x:v>
      </x:c>
      <x:c r="J80" s="31" t="str">
        <x:v>讲稿、课件、示例、作业与答案</x:v>
      </x:c>
      <x:c r="K80" s="31" t="str">
        <x:v>重要</x:v>
      </x:c>
      <x:c r="L80" s="31" t="str">
        <x:v>待确认</x:v>
      </x:c>
      <x:c r="M80" s="31" t="str">
        <x:v>参考所属系列前序模块</x:v>
      </x:c>
      <x:c r="N80" s="31" t="str"/>
    </x:row>
    <x:row r="81" ht="42" customHeight="1">
      <x:c r="A81" s="31" t="str">
        <x:v>P6.12</x:v>
      </x:c>
      <x:c r="B81" s="31" t="str">
        <x:v>P</x:v>
      </x:c>
      <x:c r="C81" s="31" t="str">
        <x:v>P6</x:v>
      </x:c>
      <x:c r="D81" s="31" t="str">
        <x:v>PMSM、逆变器、采样与位置传感器基础</x:v>
      </x:c>
      <x:c r="E81" s="31" t="str">
        <x:v>Enable、Fault、Break、硬件过流、过欠压与温度保护</x:v>
      </x:c>
      <x:c r="F81" s="31" t="str">
        <x:v>B｜你主讲，专项老师补充</x:v>
      </x:c>
      <x:c r="G81" s="31" t="str">
        <x:v>你主讲，专项老师补充</x:v>
      </x:c>
      <x:c r="H81" s="31" t="str">
        <x:v>属于核心专项，课程负责人控制主线，再由有实机经验的老师补充算法细节和适用边界。</x:v>
      </x:c>
      <x:c r="I81" s="31" t="str">
        <x:v>方法讲解＋实测数据＋问题复盘</x:v>
      </x:c>
      <x:c r="J81" s="31" t="str">
        <x:v>讲稿、原理图/计算、板级测试记录、检查清单</x:v>
      </x:c>
      <x:c r="K81" s="31" t="str">
        <x:v>重要</x:v>
      </x:c>
      <x:c r="L81" s="31" t="str">
        <x:v>待确认</x:v>
      </x:c>
      <x:c r="M81" s="31" t="str">
        <x:v>参考所属系列前序模块</x:v>
      </x:c>
      <x:c r="N81" s="31" t="str"/>
    </x:row>
    <x:row r="82" ht="42" customHeight="1">
      <x:c r="A82" s="31" t="str">
        <x:v>P7.01</x:v>
      </x:c>
      <x:c r="B82" s="31" t="str">
        <x:v>P</x:v>
      </x:c>
      <x:c r="C82" s="31" t="str">
        <x:v>P7</x:v>
      </x:c>
      <x:c r="D82" s="31" t="str">
        <x:v>电机控制需要的数学、控制与信号基础</x:v>
      </x:c>
      <x:c r="E82" s="31" t="str">
        <x:v>V、A、Ω、W、N·m、rpm、Hz、rad/s 与常用单位换算</x:v>
      </x:c>
      <x:c r="F82" s="31" t="str">
        <x:v>B｜你主讲，专项老师补充</x:v>
      </x:c>
      <x:c r="G82" s="31" t="str">
        <x:v>你主讲，专项老师补充</x:v>
      </x:c>
      <x:c r="H82" s="31" t="str">
        <x:v>属于核心专项，课程负责人控制主线，再由有实机经验的老师补充算法细节和适用边界。</x:v>
      </x:c>
      <x:c r="I82" s="31" t="str">
        <x:v>原理讲解＋工程案例＋检查题</x:v>
      </x:c>
      <x:c r="J82" s="31" t="str">
        <x:v>讲稿、课件、示例、作业与答案</x:v>
      </x:c>
      <x:c r="K82" s="31" t="str">
        <x:v>重要</x:v>
      </x:c>
      <x:c r="L82" s="31" t="str">
        <x:v>待确认</x:v>
      </x:c>
      <x:c r="M82" s="31" t="str">
        <x:v>参考所属系列前序模块</x:v>
      </x:c>
      <x:c r="N82" s="31" t="str"/>
    </x:row>
    <x:row r="83" ht="42" customHeight="1">
      <x:c r="A83" s="31" t="str">
        <x:v>P7.02</x:v>
      </x:c>
      <x:c r="B83" s="31" t="str">
        <x:v>P</x:v>
      </x:c>
      <x:c r="C83" s="31" t="str">
        <x:v>P7</x:v>
      </x:c>
      <x:c r="D83" s="31" t="str">
        <x:v>电机控制需要的数学、控制与信号基础</x:v>
      </x:c>
      <x:c r="E83" s="31" t="str">
        <x:v>正弦、余弦、幅值、周期、频率、相位与三相相差 120°</x:v>
      </x:c>
      <x:c r="F83" s="31" t="str">
        <x:v>B｜你主讲，专项老师补充</x:v>
      </x:c>
      <x:c r="G83" s="31" t="str">
        <x:v>你主讲，专项老师补充</x:v>
      </x:c>
      <x:c r="H83" s="31" t="str">
        <x:v>属于核心专项，课程负责人控制主线，再由有实机经验的老师补充算法细节和适用边界。</x:v>
      </x:c>
      <x:c r="I83" s="31" t="str">
        <x:v>原理讲解＋工程案例＋检查题</x:v>
      </x:c>
      <x:c r="J83" s="31" t="str">
        <x:v>讲稿、课件、示例、作业与答案</x:v>
      </x:c>
      <x:c r="K83" s="31" t="str">
        <x:v>重要</x:v>
      </x:c>
      <x:c r="L83" s="31" t="str">
        <x:v>待确认</x:v>
      </x:c>
      <x:c r="M83" s="31" t="str">
        <x:v>参考所属系列前序模块</x:v>
      </x:c>
      <x:c r="N83" s="31" t="str"/>
    </x:row>
    <x:row r="84" ht="42" customHeight="1">
      <x:c r="A84" s="31" t="str">
        <x:v>P7.03</x:v>
      </x:c>
      <x:c r="B84" s="31" t="str">
        <x:v>P</x:v>
      </x:c>
      <x:c r="C84" s="31" t="str">
        <x:v>P7</x:v>
      </x:c>
      <x:c r="D84" s="31" t="str">
        <x:v>电机控制需要的数学、控制与信号基础</x:v>
      </x:c>
      <x:c r="E84" s="31" t="str">
        <x:v>二维向量、模长、夹角、投影与旋转坐标系</x:v>
      </x:c>
      <x:c r="F84" s="31" t="str">
        <x:v>B｜你主讲，专项老师补充</x:v>
      </x:c>
      <x:c r="G84" s="31" t="str">
        <x:v>你主讲，专项老师补充</x:v>
      </x:c>
      <x:c r="H84" s="31" t="str">
        <x:v>属于核心专项，课程负责人控制主线，再由有实机经验的老师补充算法细节和适用边界。</x:v>
      </x:c>
      <x:c r="I84" s="31" t="str">
        <x:v>原理讲解＋工程案例＋检查题</x:v>
      </x:c>
      <x:c r="J84" s="31" t="str">
        <x:v>讲稿、课件、示例、作业与答案</x:v>
      </x:c>
      <x:c r="K84" s="31" t="str">
        <x:v>重要</x:v>
      </x:c>
      <x:c r="L84" s="31" t="str">
        <x:v>待确认</x:v>
      </x:c>
      <x:c r="M84" s="31" t="str">
        <x:v>参考所属系列前序模块</x:v>
      </x:c>
      <x:c r="N84" s="31" t="str"/>
    </x:row>
    <x:row r="85" ht="42" customHeight="1">
      <x:c r="A85" s="31" t="str">
        <x:v>P7.04</x:v>
      </x:c>
      <x:c r="B85" s="31" t="str">
        <x:v>P</x:v>
      </x:c>
      <x:c r="C85" s="31" t="str">
        <x:v>P7</x:v>
      </x:c>
      <x:c r="D85" s="31" t="str">
        <x:v>电机控制需要的数学、控制与信号基础</x:v>
      </x:c>
      <x:c r="E85" s="31" t="str">
        <x:v>矩阵乘法、坐标变换与 Clarke/Park 的基本含义</x:v>
      </x:c>
      <x:c r="F85" s="31" t="str">
        <x:v>B｜你主讲，专项老师补充</x:v>
      </x:c>
      <x:c r="G85" s="31" t="str">
        <x:v>你主讲，专项老师补充</x:v>
      </x:c>
      <x:c r="H85" s="31" t="str">
        <x:v>属于核心专项，课程负责人控制主线，再由有实机经验的老师补充算法细节和适用边界。</x:v>
      </x:c>
      <x:c r="I85" s="31" t="str">
        <x:v>原理讲解＋工程案例＋检查题</x:v>
      </x:c>
      <x:c r="J85" s="31" t="str">
        <x:v>讲稿、课件、示例、作业与答案</x:v>
      </x:c>
      <x:c r="K85" s="31" t="str">
        <x:v>重要</x:v>
      </x:c>
      <x:c r="L85" s="31" t="str">
        <x:v>待确认</x:v>
      </x:c>
      <x:c r="M85" s="31" t="str">
        <x:v>参考所属系列前序模块</x:v>
      </x:c>
      <x:c r="N85" s="31" t="str"/>
    </x:row>
    <x:row r="86" ht="42" customHeight="1">
      <x:c r="A86" s="31" t="str">
        <x:v>P7.05</x:v>
      </x:c>
      <x:c r="B86" s="31" t="str">
        <x:v>P</x:v>
      </x:c>
      <x:c r="C86" s="31" t="str">
        <x:v>P7</x:v>
      </x:c>
      <x:c r="D86" s="31" t="str">
        <x:v>电机控制需要的数学、控制与信号基础</x:v>
      </x:c>
      <x:c r="E86" s="31" t="str">
        <x:v>导数、积分、差分、数值积分与角度速度关系</x:v>
      </x:c>
      <x:c r="F86" s="31" t="str">
        <x:v>B｜你主讲，专项老师补充</x:v>
      </x:c>
      <x:c r="G86" s="31" t="str">
        <x:v>你主讲，专项老师补充</x:v>
      </x:c>
      <x:c r="H86" s="31" t="str">
        <x:v>属于核心专项，课程负责人控制主线，再由有实机经验的老师补充算法细节和适用边界。</x:v>
      </x:c>
      <x:c r="I86" s="31" t="str">
        <x:v>原理讲解＋工程案例＋检查题</x:v>
      </x:c>
      <x:c r="J86" s="31" t="str">
        <x:v>讲稿、课件、示例、作业与答案</x:v>
      </x:c>
      <x:c r="K86" s="31" t="str">
        <x:v>重要</x:v>
      </x:c>
      <x:c r="L86" s="31" t="str">
        <x:v>待确认</x:v>
      </x:c>
      <x:c r="M86" s="31" t="str">
        <x:v>参考所属系列前序模块</x:v>
      </x:c>
      <x:c r="N86" s="31" t="str"/>
    </x:row>
    <x:row r="87" ht="42" customHeight="1">
      <x:c r="A87" s="31" t="str">
        <x:v>P7.06</x:v>
      </x:c>
      <x:c r="B87" s="31" t="str">
        <x:v>P</x:v>
      </x:c>
      <x:c r="C87" s="31" t="str">
        <x:v>P7</x:v>
      </x:c>
      <x:c r="D87" s="31" t="str">
        <x:v>电机控制需要的数学、控制与信号基础</x:v>
      </x:c>
      <x:c r="E87" s="31" t="str">
        <x:v>采样周期、离散计算、上一拍/当前拍与数字延迟</x:v>
      </x:c>
      <x:c r="F87" s="31" t="str">
        <x:v>B｜你主讲，专项老师补充</x:v>
      </x:c>
      <x:c r="G87" s="31" t="str">
        <x:v>你主讲，专项老师补充</x:v>
      </x:c>
      <x:c r="H87" s="31" t="str">
        <x:v>属于核心专项，课程负责人控制主线，再由有实机经验的老师补充算法细节和适用边界。</x:v>
      </x:c>
      <x:c r="I87" s="31" t="str">
        <x:v>原理讲解＋工程案例＋检查题</x:v>
      </x:c>
      <x:c r="J87" s="31" t="str">
        <x:v>讲稿、课件、示例、作业与答案</x:v>
      </x:c>
      <x:c r="K87" s="31" t="str">
        <x:v>重要</x:v>
      </x:c>
      <x:c r="L87" s="31" t="str">
        <x:v>待确认</x:v>
      </x:c>
      <x:c r="M87" s="31" t="str">
        <x:v>参考所属系列前序模块</x:v>
      </x:c>
      <x:c r="N87" s="31" t="str"/>
    </x:row>
    <x:row r="88" ht="42" customHeight="1">
      <x:c r="A88" s="31" t="str">
        <x:v>P7.07</x:v>
      </x:c>
      <x:c r="B88" s="31" t="str">
        <x:v>P</x:v>
      </x:c>
      <x:c r="C88" s="31" t="str">
        <x:v>P7</x:v>
      </x:c>
      <x:c r="D88" s="31" t="str">
        <x:v>电机控制需要的数学、控制与信号基础</x:v>
      </x:c>
      <x:c r="E88" s="31" t="str">
        <x:v>一阶系统、时间常数、惯性与阶跃响应</x:v>
      </x:c>
      <x:c r="F88" s="31" t="str">
        <x:v>B｜你主讲，专项老师补充</x:v>
      </x:c>
      <x:c r="G88" s="31" t="str">
        <x:v>你主讲，专项老师补充</x:v>
      </x:c>
      <x:c r="H88" s="31" t="str">
        <x:v>属于核心专项，课程负责人控制主线，再由有实机经验的老师补充算法细节和适用边界。</x:v>
      </x:c>
      <x:c r="I88" s="31" t="str">
        <x:v>原理讲解＋工程案例＋检查题</x:v>
      </x:c>
      <x:c r="J88" s="31" t="str">
        <x:v>讲稿、课件、示例、作业与答案</x:v>
      </x:c>
      <x:c r="K88" s="31" t="str">
        <x:v>重要</x:v>
      </x:c>
      <x:c r="L88" s="31" t="str">
        <x:v>待确认</x:v>
      </x:c>
      <x:c r="M88" s="31" t="str">
        <x:v>参考所属系列前序模块</x:v>
      </x:c>
      <x:c r="N88" s="31" t="str"/>
    </x:row>
    <x:row r="89" ht="42" customHeight="1">
      <x:c r="A89" s="31" t="str">
        <x:v>P7.08</x:v>
      </x:c>
      <x:c r="B89" s="31" t="str">
        <x:v>P</x:v>
      </x:c>
      <x:c r="C89" s="31" t="str">
        <x:v>P7</x:v>
      </x:c>
      <x:c r="D89" s="31" t="str">
        <x:v>电机控制需要的数学、控制与信号基础</x:v>
      </x:c>
      <x:c r="E89" s="31" t="str">
        <x:v>参考、反馈、误差、扰动与开环/闭环基本关系</x:v>
      </x:c>
      <x:c r="F89" s="31" t="str">
        <x:v>B｜你主讲，专项老师补充</x:v>
      </x:c>
      <x:c r="G89" s="31" t="str">
        <x:v>你主讲，专项老师补充</x:v>
      </x:c>
      <x:c r="H89" s="31" t="str">
        <x:v>属于核心专项，课程负责人控制主线，再由有实机经验的老师补充算法细节和适用边界。</x:v>
      </x:c>
      <x:c r="I89" s="31" t="str">
        <x:v>原理讲解＋工程案例＋检查题</x:v>
      </x:c>
      <x:c r="J89" s="31" t="str">
        <x:v>讲稿、课件、示例、作业与答案</x:v>
      </x:c>
      <x:c r="K89" s="31" t="str">
        <x:v>重要</x:v>
      </x:c>
      <x:c r="L89" s="31" t="str">
        <x:v>待确认</x:v>
      </x:c>
      <x:c r="M89" s="31" t="str">
        <x:v>参考所属系列前序模块</x:v>
      </x:c>
      <x:c r="N89" s="31" t="str"/>
    </x:row>
    <x:row r="90" ht="42" customHeight="1">
      <x:c r="A90" s="31" t="str">
        <x:v>P7.09</x:v>
      </x:c>
      <x:c r="B90" s="31" t="str">
        <x:v>P</x:v>
      </x:c>
      <x:c r="C90" s="31" t="str">
        <x:v>P7</x:v>
      </x:c>
      <x:c r="D90" s="31" t="str">
        <x:v>电机控制需要的数学、控制与信号基础</x:v>
      </x:c>
      <x:c r="E90" s="31" t="str">
        <x:v>比例 P、积分 I、PI 参数变化与稳态误差</x:v>
      </x:c>
      <x:c r="F90" s="31" t="str">
        <x:v>B｜你主讲，专项老师补充</x:v>
      </x:c>
      <x:c r="G90" s="31" t="str">
        <x:v>你主讲，专项老师补充</x:v>
      </x:c>
      <x:c r="H90" s="31" t="str">
        <x:v>属于核心专项，课程负责人控制主线，再由有实机经验的老师补充算法细节和适用边界。</x:v>
      </x:c>
      <x:c r="I90" s="31" t="str">
        <x:v>原理讲解＋工程案例＋检查题</x:v>
      </x:c>
      <x:c r="J90" s="31" t="str">
        <x:v>讲稿、课件、示例、作业与答案</x:v>
      </x:c>
      <x:c r="K90" s="31" t="str">
        <x:v>重要</x:v>
      </x:c>
      <x:c r="L90" s="31" t="str">
        <x:v>待确认</x:v>
      </x:c>
      <x:c r="M90" s="31" t="str">
        <x:v>参考所属系列前序模块</x:v>
      </x:c>
      <x:c r="N90" s="31" t="str"/>
    </x:row>
    <x:row r="91" ht="42" customHeight="1">
      <x:c r="A91" s="31" t="str">
        <x:v>P7.10</x:v>
      </x:c>
      <x:c r="B91" s="31" t="str">
        <x:v>P</x:v>
      </x:c>
      <x:c r="C91" s="31" t="str">
        <x:v>P7</x:v>
      </x:c>
      <x:c r="D91" s="31" t="str">
        <x:v>电机控制需要的数学、控制与信号基础</x:v>
      </x:c>
      <x:c r="E91" s="31" t="str">
        <x:v>连续 PI 到离散程序、输出限幅与积分饱和</x:v>
      </x:c>
      <x:c r="F91" s="31" t="str">
        <x:v>B｜你主讲，专项老师补充</x:v>
      </x:c>
      <x:c r="G91" s="31" t="str">
        <x:v>你主讲，专项老师补充</x:v>
      </x:c>
      <x:c r="H91" s="31" t="str">
        <x:v>属于核心专项，课程负责人控制主线，再由有实机经验的老师补充算法细节和适用边界。</x:v>
      </x:c>
      <x:c r="I91" s="31" t="str">
        <x:v>原理＋代码演示＋最小练习</x:v>
      </x:c>
      <x:c r="J91" s="31" t="str">
        <x:v>讲稿、可运行代码、配置说明、最小测试</x:v>
      </x:c>
      <x:c r="K91" s="31" t="str">
        <x:v>重要</x:v>
      </x:c>
      <x:c r="L91" s="31" t="str">
        <x:v>待确认</x:v>
      </x:c>
      <x:c r="M91" s="31" t="str">
        <x:v>参考所属系列前序模块</x:v>
      </x:c>
      <x:c r="N91" s="31" t="str"/>
    </x:row>
    <x:row r="92" ht="42" customHeight="1">
      <x:c r="A92" s="31" t="str">
        <x:v>P7.11</x:v>
      </x:c>
      <x:c r="B92" s="31" t="str">
        <x:v>P</x:v>
      </x:c>
      <x:c r="C92" s="31" t="str">
        <x:v>P7</x:v>
      </x:c>
      <x:c r="D92" s="31" t="str">
        <x:v>电机控制需要的数学、控制与信号基础</x:v>
      </x:c>
      <x:c r="E92" s="31" t="str">
        <x:v>采样频率、奈奎斯特条件、量化、混叠与有效范围</x:v>
      </x:c>
      <x:c r="F92" s="31" t="str">
        <x:v>B｜你主讲，专项老师补充</x:v>
      </x:c>
      <x:c r="G92" s="31" t="str">
        <x:v>你主讲，专项老师补充</x:v>
      </x:c>
      <x:c r="H92" s="31" t="str">
        <x:v>属于核心专项，课程负责人控制主线，再由有实机经验的老师补充算法细节和适用边界。</x:v>
      </x:c>
      <x:c r="I92" s="31" t="str">
        <x:v>原理讲解＋工程案例＋检查题</x:v>
      </x:c>
      <x:c r="J92" s="31" t="str">
        <x:v>讲稿、课件、示例、作业与答案</x:v>
      </x:c>
      <x:c r="K92" s="31" t="str">
        <x:v>重要</x:v>
      </x:c>
      <x:c r="L92" s="31" t="str">
        <x:v>待确认</x:v>
      </x:c>
      <x:c r="M92" s="31" t="str">
        <x:v>参考所属系列前序模块</x:v>
      </x:c>
      <x:c r="N92" s="31" t="str"/>
    </x:row>
    <x:row r="93" ht="42" customHeight="1">
      <x:c r="A93" s="31" t="str">
        <x:v>P7.12</x:v>
      </x:c>
      <x:c r="B93" s="31" t="str">
        <x:v>P</x:v>
      </x:c>
      <x:c r="C93" s="31" t="str">
        <x:v>P7</x:v>
      </x:c>
      <x:c r="D93" s="31" t="str">
        <x:v>电机控制需要的数学、控制与信号基础</x:v>
      </x:c>
      <x:c r="E93" s="31" t="str">
        <x:v>均值、RMS、峰值、峰峰值、标准差与异常值</x:v>
      </x:c>
      <x:c r="F93" s="31" t="str">
        <x:v>B｜你主讲，专项老师补充</x:v>
      </x:c>
      <x:c r="G93" s="31" t="str">
        <x:v>你主讲，专项老师补充</x:v>
      </x:c>
      <x:c r="H93" s="31" t="str">
        <x:v>属于核心专项，课程负责人控制主线，再由有实机经验的老师补充算法细节和适用边界。</x:v>
      </x:c>
      <x:c r="I93" s="31" t="str">
        <x:v>原理讲解＋工程案例＋检查题</x:v>
      </x:c>
      <x:c r="J93" s="31" t="str">
        <x:v>讲稿、课件、示例、作业与答案</x:v>
      </x:c>
      <x:c r="K93" s="31" t="str">
        <x:v>重要</x:v>
      </x:c>
      <x:c r="L93" s="31" t="str">
        <x:v>待确认</x:v>
      </x:c>
      <x:c r="M93" s="31" t="str">
        <x:v>参考所属系列前序模块</x:v>
      </x:c>
      <x:c r="N93" s="31" t="str"/>
    </x:row>
    <x:row r="94" ht="42" customHeight="1">
      <x:c r="A94" s="31" t="str">
        <x:v>P7.13</x:v>
      </x:c>
      <x:c r="B94" s="31" t="str">
        <x:v>P</x:v>
      </x:c>
      <x:c r="C94" s="31" t="str">
        <x:v>P7</x:v>
      </x:c>
      <x:c r="D94" s="31" t="str">
        <x:v>电机控制需要的数学、控制与信号基础</x:v>
      </x:c>
      <x:c r="E94" s="31" t="str">
        <x:v>一阶低通、滑动平均、截止频率与滤波延迟</x:v>
      </x:c>
      <x:c r="F94" s="31" t="str">
        <x:v>B｜你主讲，专项老师补充</x:v>
      </x:c>
      <x:c r="G94" s="31" t="str">
        <x:v>你主讲，专项老师补充</x:v>
      </x:c>
      <x:c r="H94" s="31" t="str">
        <x:v>属于核心专项，课程负责人控制主线，再由有实机经验的老师补充算法细节和适用边界。</x:v>
      </x:c>
      <x:c r="I94" s="31" t="str">
        <x:v>原理讲解＋工程案例＋检查题</x:v>
      </x:c>
      <x:c r="J94" s="31" t="str">
        <x:v>讲稿、课件、示例、作业与答案</x:v>
      </x:c>
      <x:c r="K94" s="31" t="str">
        <x:v>重要</x:v>
      </x:c>
      <x:c r="L94" s="31" t="str">
        <x:v>待确认</x:v>
      </x:c>
      <x:c r="M94" s="31" t="str">
        <x:v>参考所属系列前序模块</x:v>
      </x:c>
      <x:c r="N94" s="31" t="str"/>
    </x:row>
    <x:row r="95" ht="42" customHeight="1">
      <x:c r="A95" s="31" t="str">
        <x:v>P7.14</x:v>
      </x:c>
      <x:c r="B95" s="31" t="str">
        <x:v>P</x:v>
      </x:c>
      <x:c r="C95" s="31" t="str">
        <x:v>P7</x:v>
      </x:c>
      <x:c r="D95" s="31" t="str">
        <x:v>电机控制需要的数学、控制与信号基础</x:v>
      </x:c>
      <x:c r="E95" s="31" t="str">
        <x:v>角度回绕、多圈展开、差分测速与基础 M/T 测速</x:v>
      </x:c>
      <x:c r="F95" s="31" t="str">
        <x:v>B｜你主讲，专项老师补充</x:v>
      </x:c>
      <x:c r="G95" s="31" t="str">
        <x:v>你主讲，专项老师补充</x:v>
      </x:c>
      <x:c r="H95" s="31" t="str">
        <x:v>属于核心专项，课程负责人控制主线，再由有实机经验的老师补充算法细节和适用边界。</x:v>
      </x:c>
      <x:c r="I95" s="31" t="str">
        <x:v>原理讲解＋工程案例＋检查题</x:v>
      </x:c>
      <x:c r="J95" s="31" t="str">
        <x:v>讲稿、课件、示例、作业与答案</x:v>
      </x:c>
      <x:c r="K95" s="31" t="str">
        <x:v>重要</x:v>
      </x:c>
      <x:c r="L95" s="31" t="str">
        <x:v>待确认</x:v>
      </x:c>
      <x:c r="M95" s="31" t="str">
        <x:v>参考所属系列前序模块</x:v>
      </x:c>
      <x:c r="N95" s="31" t="str"/>
    </x:row>
    <x:row r="96" ht="42" customHeight="1">
      <x:c r="A96" s="31" t="str">
        <x:v>P7.15</x:v>
      </x:c>
      <x:c r="B96" s="31" t="str">
        <x:v>P</x:v>
      </x:c>
      <x:c r="C96" s="31" t="str">
        <x:v>P7</x:v>
      </x:c>
      <x:c r="D96" s="31" t="str">
        <x:v>电机控制需要的数学、控制与信号基础</x:v>
      </x:c>
      <x:c r="E96" s="31" t="str">
        <x:v>FFT、基频、谐波、窗函数与频谱泄漏基础</x:v>
      </x:c>
      <x:c r="F96" s="31" t="str">
        <x:v>B｜你主讲，专项老师补充</x:v>
      </x:c>
      <x:c r="G96" s="31" t="str">
        <x:v>你主讲，专项老师补充</x:v>
      </x:c>
      <x:c r="H96" s="31" t="str">
        <x:v>属于核心专项，课程负责人控制主线，再由有实机经验的老师补充算法细节和适用边界。</x:v>
      </x:c>
      <x:c r="I96" s="31" t="str">
        <x:v>原理讲解＋工程案例＋检查题</x:v>
      </x:c>
      <x:c r="J96" s="31" t="str">
        <x:v>讲稿、课件、示例、作业与答案</x:v>
      </x:c>
      <x:c r="K96" s="31" t="str">
        <x:v>重要</x:v>
      </x:c>
      <x:c r="L96" s="31" t="str">
        <x:v>待确认</x:v>
      </x:c>
      <x:c r="M96" s="31" t="str">
        <x:v>参考所属系列前序模块</x:v>
      </x:c>
      <x:c r="N96" s="31" t="str"/>
    </x:row>
    <x:row r="97" ht="42" customHeight="1">
      <x:c r="A97" s="31" t="str">
        <x:v>P7.16</x:v>
      </x:c>
      <x:c r="B97" s="31" t="str">
        <x:v>P</x:v>
      </x:c>
      <x:c r="C97" s="31" t="str">
        <x:v>P7</x:v>
      </x:c>
      <x:c r="D97" s="31" t="str">
        <x:v>电机控制需要的数学、控制与信号基础</x:v>
      </x:c>
      <x:c r="E97" s="31" t="str">
        <x:v>上升时间、超调、调节时间、带宽与基础稳定性判断</x:v>
      </x:c>
      <x:c r="F97" s="31" t="str">
        <x:v>B｜你主讲，专项老师补充</x:v>
      </x:c>
      <x:c r="G97" s="31" t="str">
        <x:v>你主讲，专项老师补充</x:v>
      </x:c>
      <x:c r="H97" s="31" t="str">
        <x:v>属于核心专项，课程负责人控制主线，再由有实机经验的老师补充算法细节和适用边界。</x:v>
      </x:c>
      <x:c r="I97" s="31" t="str">
        <x:v>原理讲解＋工程案例＋检查题</x:v>
      </x:c>
      <x:c r="J97" s="31" t="str">
        <x:v>讲稿、课件、示例、作业与答案</x:v>
      </x:c>
      <x:c r="K97" s="31" t="str">
        <x:v>重要</x:v>
      </x:c>
      <x:c r="L97" s="31" t="str">
        <x:v>待确认</x:v>
      </x:c>
      <x:c r="M97" s="31" t="str">
        <x:v>参考所属系列前序模块</x:v>
      </x:c>
      <x:c r="N97" s="31" t="str"/>
    </x:row>
    <x:row r="98" ht="42" customHeight="1">
      <x:c r="A98" s="31" t="str">
        <x:v>P8.01</x:v>
      </x:c>
      <x:c r="B98" s="31" t="str">
        <x:v>P</x:v>
      </x:c>
      <x:c r="C98" s="31" t="str">
        <x:v>P8</x:v>
      </x:c>
      <x:c r="D98" s="31" t="str">
        <x:v>综合基础项目、调试方法与 Z 系列准入</x:v>
      </x:c>
      <x:c r="E98" s="31" t="str">
        <x:v>选择一块开源 STM32 控制板并整理原理图、PinMap 与资料</x:v>
      </x:c>
      <x:c r="F98" s="31" t="str">
        <x:v>A｜建议你主讲</x:v>
      </x:c>
      <x:c r="G98" s="31" t="str">
        <x:v>你主讲</x:v>
      </x:c>
      <x:c r="H98" s="31" t="str">
        <x:v>依赖真实项目决策、波形判断或完整调试经验，适合由课程负责人讲清工程取舍。</x:v>
      </x:c>
      <x:c r="I98" s="31" t="str">
        <x:v>原理讲解＋工程案例＋检查题</x:v>
      </x:c>
      <x:c r="J98" s="31" t="str">
        <x:v>讲稿、课件、示例、作业与答案</x:v>
      </x:c>
      <x:c r="K98" s="31" t="str">
        <x:v>核心</x:v>
      </x:c>
      <x:c r="L98" s="31" t="str">
        <x:v>待确认</x:v>
      </x:c>
      <x:c r="M98" s="31" t="str">
        <x:v>参考所属系列前序模块</x:v>
      </x:c>
      <x:c r="N98" s="31" t="str"/>
    </x:row>
    <x:row r="99" ht="42" customHeight="1">
      <x:c r="A99" s="31" t="str">
        <x:v>P8.02</x:v>
      </x:c>
      <x:c r="B99" s="31" t="str">
        <x:v>P</x:v>
      </x:c>
      <x:c r="C99" s="31" t="str">
        <x:v>P8</x:v>
      </x:c>
      <x:c r="D99" s="31" t="str">
        <x:v>综合基础项目、调试方法与 Z 系列准入</x:v>
      </x:c>
      <x:c r="E99" s="31" t="str">
        <x:v>从开源工程建立自己的 Git 仓库、编译环境与稳定起点</x:v>
      </x:c>
      <x:c r="F99" s="31" t="str">
        <x:v>D｜助教/AI整理初稿，你审核</x:v>
      </x:c>
      <x:c r="G99" s="31" t="str">
        <x:v>助教/AI整理初稿，你审核</x:v>
      </x:c>
      <x:c r="H99" s="31" t="str">
        <x:v>以基础工具和标准知识为主，可先整理标准化材料，再由课程负责人检查口径和示例。</x:v>
      </x:c>
      <x:c r="I99" s="31" t="str">
        <x:v>原理讲解＋工程案例＋检查题</x:v>
      </x:c>
      <x:c r="J99" s="31" t="str">
        <x:v>讲稿、课件、示例、作业与答案</x:v>
      </x:c>
      <x:c r="K99" s="31" t="str">
        <x:v>核心</x:v>
      </x:c>
      <x:c r="L99" s="31" t="str">
        <x:v>待确认</x:v>
      </x:c>
      <x:c r="M99" s="31" t="str">
        <x:v>参考所属系列前序模块</x:v>
      </x:c>
      <x:c r="N99" s="31" t="str"/>
    </x:row>
    <x:row r="100" ht="42" customHeight="1">
      <x:c r="A100" s="31" t="str">
        <x:v>P8.03</x:v>
      </x:c>
      <x:c r="B100" s="31" t="str">
        <x:v>P</x:v>
      </x:c>
      <x:c r="C100" s="31" t="str">
        <x:v>P8</x:v>
      </x:c>
      <x:c r="D100" s="31" t="str">
        <x:v>综合基础项目、调试方法与 Z 系列准入</x:v>
      </x:c>
      <x:c r="E100" s="31" t="str">
        <x:v>检查电源、复位、时钟、BOOT、下载接口与安全默认电平</x:v>
      </x:c>
      <x:c r="F100" s="31" t="str">
        <x:v>A｜建议你主讲</x:v>
      </x:c>
      <x:c r="G100" s="31" t="str">
        <x:v>你主讲</x:v>
      </x:c>
      <x:c r="H100" s="31" t="str">
        <x:v>依赖真实项目决策、波形判断或完整调试经验，适合由课程负责人讲清工程取舍。</x:v>
      </x:c>
      <x:c r="I100" s="31" t="str">
        <x:v>原理图/计算＋板级测试</x:v>
      </x:c>
      <x:c r="J100" s="31" t="str">
        <x:v>讲稿、课件、示例、作业与答案</x:v>
      </x:c>
      <x:c r="K100" s="31" t="str">
        <x:v>核心</x:v>
      </x:c>
      <x:c r="L100" s="31" t="str">
        <x:v>待确认</x:v>
      </x:c>
      <x:c r="M100" s="31" t="str">
        <x:v>参考所属系列前序模块</x:v>
      </x:c>
      <x:c r="N100" s="31" t="str"/>
    </x:row>
    <x:row r="101" ht="42" customHeight="1">
      <x:c r="A101" s="31" t="str">
        <x:v>P8.04</x:v>
      </x:c>
      <x:c r="B101" s="31" t="str">
        <x:v>P</x:v>
      </x:c>
      <x:c r="C101" s="31" t="str">
        <x:v>P8</x:v>
      </x:c>
      <x:c r="D101" s="31" t="str">
        <x:v>综合基础项目、调试方法与 Z 系列准入</x:v>
      </x:c>
      <x:c r="E101" s="31" t="str">
        <x:v>配置并测量 GPIO、基础 PWM、占空比和定时中断</x:v>
      </x:c>
      <x:c r="F101" s="31" t="str">
        <x:v>A｜建议你主讲</x:v>
      </x:c>
      <x:c r="G101" s="31" t="str">
        <x:v>你主讲</x:v>
      </x:c>
      <x:c r="H101" s="31" t="str">
        <x:v>依赖真实项目决策、波形判断或完整调试经验，适合由课程负责人讲清工程取舍。</x:v>
      </x:c>
      <x:c r="I101" s="31" t="str">
        <x:v>原理＋代码演示＋最小练习</x:v>
      </x:c>
      <x:c r="J101" s="31" t="str">
        <x:v>讲稿、可运行代码、配置说明、最小测试</x:v>
      </x:c>
      <x:c r="K101" s="31" t="str">
        <x:v>核心</x:v>
      </x:c>
      <x:c r="L101" s="31" t="str">
        <x:v>待确认</x:v>
      </x:c>
      <x:c r="M101" s="31" t="str">
        <x:v>参考所属系列前序模块</x:v>
      </x:c>
      <x:c r="N101" s="31" t="str"/>
    </x:row>
    <x:row r="102" ht="42" customHeight="1">
      <x:c r="A102" s="31" t="str">
        <x:v>P8.05</x:v>
      </x:c>
      <x:c r="B102" s="31" t="str">
        <x:v>P</x:v>
      </x:c>
      <x:c r="C102" s="31" t="str">
        <x:v>P8</x:v>
      </x:c>
      <x:c r="D102" s="31" t="str">
        <x:v>综合基础项目、调试方法与 Z 系列准入</x:v>
      </x:c>
      <x:c r="E102" s="31" t="str">
        <x:v>配置 ADC 与 DMA，完成电位器、温度或模拟信号采集</x:v>
      </x:c>
      <x:c r="F102" s="31" t="str">
        <x:v>A｜建议你主讲</x:v>
      </x:c>
      <x:c r="G102" s="31" t="str">
        <x:v>你主讲</x:v>
      </x:c>
      <x:c r="H102" s="31" t="str">
        <x:v>依赖真实项目决策、波形判断或完整调试经验，适合由课程负责人讲清工程取舍。</x:v>
      </x:c>
      <x:c r="I102" s="31" t="str">
        <x:v>原理图/计算＋板级测试</x:v>
      </x:c>
      <x:c r="J102" s="31" t="str">
        <x:v>讲稿、可运行代码、配置说明、最小测试</x:v>
      </x:c>
      <x:c r="K102" s="31" t="str">
        <x:v>核心</x:v>
      </x:c>
      <x:c r="L102" s="31" t="str">
        <x:v>待确认</x:v>
      </x:c>
      <x:c r="M102" s="31" t="str">
        <x:v>参考所属系列前序模块</x:v>
      </x:c>
      <x:c r="N102" s="31" t="str"/>
    </x:row>
    <x:row r="103" ht="42" customHeight="1">
      <x:c r="A103" s="31" t="str">
        <x:v>P8.06</x:v>
      </x:c>
      <x:c r="B103" s="31" t="str">
        <x:v>P</x:v>
      </x:c>
      <x:c r="C103" s="31" t="str">
        <x:v>P8</x:v>
      </x:c>
      <x:c r="D103" s="31" t="str">
        <x:v>综合基础项目、调试方法与 Z 系列准入</x:v>
      </x:c>
      <x:c r="E103" s="31" t="str">
        <x:v>完成 Offset、增益、物理量换算、限幅与基础滤波</x:v>
      </x:c>
      <x:c r="F103" s="31" t="str">
        <x:v>A｜建议你主讲</x:v>
      </x:c>
      <x:c r="G103" s="31" t="str">
        <x:v>你主讲</x:v>
      </x:c>
      <x:c r="H103" s="31" t="str">
        <x:v>依赖真实项目决策、波形判断或完整调试经验，适合由课程负责人讲清工程取舍。</x:v>
      </x:c>
      <x:c r="I103" s="31" t="str">
        <x:v>原理讲解＋工程案例＋检查题</x:v>
      </x:c>
      <x:c r="J103" s="31" t="str">
        <x:v>讲稿、课件、示例、作业与答案</x:v>
      </x:c>
      <x:c r="K103" s="31" t="str">
        <x:v>核心</x:v>
      </x:c>
      <x:c r="L103" s="31" t="str">
        <x:v>待确认</x:v>
      </x:c>
      <x:c r="M103" s="31" t="str">
        <x:v>参考所属系列前序模块</x:v>
      </x:c>
      <x:c r="N103" s="31" t="str"/>
    </x:row>
    <x:row r="104" ht="42" customHeight="1">
      <x:c r="A104" s="31" t="str">
        <x:v>P8.07</x:v>
      </x:c>
      <x:c r="B104" s="31" t="str">
        <x:v>P</x:v>
      </x:c>
      <x:c r="C104" s="31" t="str">
        <x:v>P8</x:v>
      </x:c>
      <x:c r="D104" s="31" t="str">
        <x:v>综合基础项目、调试方法与 Z 系列准入</x:v>
      </x:c>
      <x:c r="E104" s="31" t="str">
        <x:v>通过 UART/CAN 输出时间戳、原始值、物理量与运行状态</x:v>
      </x:c>
      <x:c r="F104" s="31" t="str">
        <x:v>A｜建议你主讲</x:v>
      </x:c>
      <x:c r="G104" s="31" t="str">
        <x:v>你主讲</x:v>
      </x:c>
      <x:c r="H104" s="31" t="str">
        <x:v>依赖真实项目决策、波形判断或完整调试经验，适合由课程负责人讲清工程取舍。</x:v>
      </x:c>
      <x:c r="I104" s="31" t="str">
        <x:v>原理讲解＋工程案例＋检查题</x:v>
      </x:c>
      <x:c r="J104" s="31" t="str">
        <x:v>讲稿、课件、示例、作业与答案</x:v>
      </x:c>
      <x:c r="K104" s="31" t="str">
        <x:v>核心</x:v>
      </x:c>
      <x:c r="L104" s="31" t="str">
        <x:v>待确认</x:v>
      </x:c>
      <x:c r="M104" s="31" t="str">
        <x:v>参考所属系列前序模块</x:v>
      </x:c>
      <x:c r="N104" s="31" t="str"/>
    </x:row>
    <x:row r="105" ht="42" customHeight="1">
      <x:c r="A105" s="31" t="str">
        <x:v>P8.08</x:v>
      </x:c>
      <x:c r="B105" s="31" t="str">
        <x:v>P</x:v>
      </x:c>
      <x:c r="C105" s="31" t="str">
        <x:v>P8</x:v>
      </x:c>
      <x:c r="D105" s="31" t="str">
        <x:v>综合基础项目、调试方法与 Z 系列准入</x:v>
      </x:c>
      <x:c r="E105" s="31" t="str">
        <x:v>加入简单状态程序、命令输入、超时、Fault 与安全停止</x:v>
      </x:c>
      <x:c r="F105" s="31" t="str">
        <x:v>A｜建议你主讲</x:v>
      </x:c>
      <x:c r="G105" s="31" t="str">
        <x:v>你主讲</x:v>
      </x:c>
      <x:c r="H105" s="31" t="str">
        <x:v>依赖真实项目决策、波形判断或完整调试经验，适合由课程负责人讲清工程取舍。</x:v>
      </x:c>
      <x:c r="I105" s="31" t="str">
        <x:v>原理＋代码演示＋最小练习</x:v>
      </x:c>
      <x:c r="J105" s="31" t="str">
        <x:v>讲稿、可运行代码、配置说明、最小测试</x:v>
      </x:c>
      <x:c r="K105" s="31" t="str">
        <x:v>核心</x:v>
      </x:c>
      <x:c r="L105" s="31" t="str">
        <x:v>待确认</x:v>
      </x:c>
      <x:c r="M105" s="31" t="str">
        <x:v>参考所属系列前序模块</x:v>
      </x:c>
      <x:c r="N105" s="31" t="str"/>
    </x:row>
    <x:row r="106" ht="42" customHeight="1">
      <x:c r="A106" s="31" t="str">
        <x:v>P8.09</x:v>
      </x:c>
      <x:c r="B106" s="31" t="str">
        <x:v>P</x:v>
      </x:c>
      <x:c r="C106" s="31" t="str">
        <x:v>P8</x:v>
      </x:c>
      <x:c r="D106" s="31" t="str">
        <x:v>综合基础项目、调试方法与 Z 系列准入</x:v>
      </x:c>
      <x:c r="E106" s="31" t="str">
        <x:v>用万用表、示波器、逻辑分析仪和日志完成分层检查</x:v>
      </x:c>
      <x:c r="F106" s="31" t="str">
        <x:v>A｜建议你主讲</x:v>
      </x:c>
      <x:c r="G106" s="31" t="str">
        <x:v>你主讲</x:v>
      </x:c>
      <x:c r="H106" s="31" t="str">
        <x:v>依赖真实项目决策、波形判断或完整调试经验，适合由课程负责人讲清工程取舍。</x:v>
      </x:c>
      <x:c r="I106" s="31" t="str">
        <x:v>原理讲解＋工程案例＋检查题</x:v>
      </x:c>
      <x:c r="J106" s="31" t="str">
        <x:v>讲稿、课件、示例、作业与答案</x:v>
      </x:c>
      <x:c r="K106" s="31" t="str">
        <x:v>核心</x:v>
      </x:c>
      <x:c r="L106" s="31" t="str">
        <x:v>待确认</x:v>
      </x:c>
      <x:c r="M106" s="31" t="str">
        <x:v>参考所属系列前序模块</x:v>
      </x:c>
      <x:c r="N106" s="31" t="str"/>
    </x:row>
    <x:row r="107" ht="42" customHeight="1">
      <x:c r="A107" s="31" t="str">
        <x:v>P8.10</x:v>
      </x:c>
      <x:c r="B107" s="31" t="str">
        <x:v>P</x:v>
      </x:c>
      <x:c r="C107" s="31" t="str">
        <x:v>P8</x:v>
      </x:c>
      <x:c r="D107" s="31" t="str">
        <x:v>综合基础项目、调试方法与 Z 系列准入</x:v>
      </x:c>
      <x:c r="E107" s="31" t="str">
        <x:v>保存接线、参数、代码、波形、原始数据与测试结果</x:v>
      </x:c>
      <x:c r="F107" s="31" t="str">
        <x:v>A｜建议你主讲</x:v>
      </x:c>
      <x:c r="G107" s="31" t="str">
        <x:v>你主讲</x:v>
      </x:c>
      <x:c r="H107" s="31" t="str">
        <x:v>依赖真实项目决策、波形判断或完整调试经验，适合由课程负责人讲清工程取舍。</x:v>
      </x:c>
      <x:c r="I107" s="31" t="str">
        <x:v>方法讲解＋实测数据＋问题复盘</x:v>
      </x:c>
      <x:c r="J107" s="31" t="str">
        <x:v>讲稿、实验步骤、原始数据、处理脚本、结果说明</x:v>
      </x:c>
      <x:c r="K107" s="31" t="str">
        <x:v>核心</x:v>
      </x:c>
      <x:c r="L107" s="31" t="str">
        <x:v>待确认</x:v>
      </x:c>
      <x:c r="M107" s="31" t="str">
        <x:v>参考所属系列前序模块</x:v>
      </x:c>
      <x:c r="N107" s="31" t="str"/>
    </x:row>
    <x:row r="108" ht="42" customHeight="1">
      <x:c r="A108" s="31" t="str">
        <x:v>P8.11</x:v>
      </x:c>
      <x:c r="B108" s="31" t="str">
        <x:v>P</x:v>
      </x:c>
      <x:c r="C108" s="31" t="str">
        <x:v>P8</x:v>
      </x:c>
      <x:c r="D108" s="31" t="str">
        <x:v>综合基础项目、调试方法与 Z 系列准入</x:v>
      </x:c>
      <x:c r="E108" s="31" t="str">
        <x:v>重新拉取工程、编译、下载、运行并完成一次问题复现</x:v>
      </x:c>
      <x:c r="F108" s="31" t="str">
        <x:v>A｜建议你主讲</x:v>
      </x:c>
      <x:c r="G108" s="31" t="str">
        <x:v>你主讲</x:v>
      </x:c>
      <x:c r="H108" s="31" t="str">
        <x:v>依赖真实项目决策、波形判断或完整调试经验，适合由课程负责人讲清工程取舍。</x:v>
      </x:c>
      <x:c r="I108" s="31" t="str">
        <x:v>原理讲解＋工程案例＋检查题</x:v>
      </x:c>
      <x:c r="J108" s="31" t="str">
        <x:v>讲稿、课件、示例、作业与答案</x:v>
      </x:c>
      <x:c r="K108" s="31" t="str">
        <x:v>核心</x:v>
      </x:c>
      <x:c r="L108" s="31" t="str">
        <x:v>待确认</x:v>
      </x:c>
      <x:c r="M108" s="31" t="str">
        <x:v>参考所属系列前序模块</x:v>
      </x:c>
      <x:c r="N108" s="31" t="str"/>
    </x:row>
    <x:row r="109" ht="42" customHeight="1">
      <x:c r="A109" s="31" t="str">
        <x:v>P8.12</x:v>
      </x:c>
      <x:c r="B109" s="31" t="str">
        <x:v>P</x:v>
      </x:c>
      <x:c r="C109" s="31" t="str">
        <x:v>P8</x:v>
      </x:c>
      <x:c r="D109" s="31" t="str">
        <x:v>综合基础项目、调试方法与 Z 系列准入</x:v>
      </x:c>
      <x:c r="E109" s="31" t="str">
        <x:v>完成 P 系列综合验收、个人薄弱项复查与 Z 系列准备清单</x:v>
      </x:c>
      <x:c r="F109" s="31" t="str">
        <x:v>A｜建议你主讲</x:v>
      </x:c>
      <x:c r="G109" s="31" t="str">
        <x:v>你主讲</x:v>
      </x:c>
      <x:c r="H109" s="31" t="str">
        <x:v>依赖真实项目决策、波形判断或完整调试经验，适合由课程负责人讲清工程取舍。</x:v>
      </x:c>
      <x:c r="I109" s="31" t="str">
        <x:v>原理讲解＋工程案例＋检查题</x:v>
      </x:c>
      <x:c r="J109" s="31" t="str">
        <x:v>讲稿、课件、示例、作业与答案</x:v>
      </x:c>
      <x:c r="K109" s="31" t="str">
        <x:v>核心</x:v>
      </x:c>
      <x:c r="L109" s="31" t="str">
        <x:v>待确认</x:v>
      </x:c>
      <x:c r="M109" s="31" t="str">
        <x:v>参考所属系列前序模块</x:v>
      </x:c>
      <x:c r="N109" s="31" t="str"/>
    </x:row>
    <x:row r="110" ht="42" customHeight="1">
      <x:c r="A110" s="31" t="str">
        <x:v>Z0.01</x:v>
      </x:c>
      <x:c r="B110" s="31" t="str">
        <x:v>Z</x:v>
      </x:c>
      <x:c r="C110" s="31" t="str">
        <x:v>Z0</x:v>
      </x:c>
      <x:c r="D110" s="31" t="str">
        <x:v>电机控制工程认知与完整系统入门</x:v>
      </x:c>
      <x:c r="E110" s="31" t="str">
        <x:v>电机控制行业应用、典型产品与负载需求分析</x:v>
      </x:c>
      <x:c r="F110" s="31" t="str">
        <x:v>A｜建议你主讲</x:v>
      </x:c>
      <x:c r="G110" s="31" t="str">
        <x:v>你主讲</x:v>
      </x:c>
      <x:c r="H110" s="31" t="str">
        <x:v>依赖真实项目决策、波形判断或完整调试经验，适合由课程负责人讲清工程取舍。</x:v>
      </x:c>
      <x:c r="I110" s="31" t="str">
        <x:v>原理讲解＋工程案例＋检查题</x:v>
      </x:c>
      <x:c r="J110" s="31" t="str">
        <x:v>讲稿、课件、示例、作业与答案</x:v>
      </x:c>
      <x:c r="K110" s="31" t="str">
        <x:v>核心</x:v>
      </x:c>
      <x:c r="L110" s="31" t="str">
        <x:v>待确认</x:v>
      </x:c>
      <x:c r="M110" s="31" t="str">
        <x:v>无</x:v>
      </x:c>
      <x:c r="N110" s="31" t="str"/>
    </x:row>
    <x:row r="111" ht="42" customHeight="1">
      <x:c r="A111" s="31" t="str">
        <x:v>Z0.02</x:v>
      </x:c>
      <x:c r="B111" s="31" t="str">
        <x:v>Z</x:v>
      </x:c>
      <x:c r="C111" s="31" t="str">
        <x:v>Z0</x:v>
      </x:c>
      <x:c r="D111" s="31" t="str">
        <x:v>电机控制工程认知与完整系统入门</x:v>
      </x:c>
      <x:c r="E111" s="31" t="str">
        <x:v>电机驱动、嵌入式、控制算法、硬件与测试岗位职责解析</x:v>
      </x:c>
      <x:c r="F111" s="31" t="str">
        <x:v>A｜建议你主讲</x:v>
      </x:c>
      <x:c r="G111" s="31" t="str">
        <x:v>你主讲</x:v>
      </x:c>
      <x:c r="H111" s="31" t="str">
        <x:v>依赖真实项目决策、波形判断或完整调试经验，适合由课程负责人讲清工程取舍。</x:v>
      </x:c>
      <x:c r="I111" s="31" t="str">
        <x:v>方法讲解＋实测数据＋问题复盘</x:v>
      </x:c>
      <x:c r="J111" s="31" t="str">
        <x:v>讲稿、实验步骤、原始数据、处理脚本、结果说明</x:v>
      </x:c>
      <x:c r="K111" s="31" t="str">
        <x:v>核心</x:v>
      </x:c>
      <x:c r="L111" s="31" t="str">
        <x:v>待确认</x:v>
      </x:c>
      <x:c r="M111" s="31" t="str">
        <x:v>无</x:v>
      </x:c>
      <x:c r="N111" s="31" t="str"/>
    </x:row>
    <x:row r="112" ht="42" customHeight="1">
      <x:c r="A112" s="31" t="str">
        <x:v>Z0.03</x:v>
      </x:c>
      <x:c r="B112" s="31" t="str">
        <x:v>Z</x:v>
      </x:c>
      <x:c r="C112" s="31" t="str">
        <x:v>Z0</x:v>
      </x:c>
      <x:c r="D112" s="31" t="str">
        <x:v>电机控制工程认知与完整系统入门</x:v>
      </x:c>
      <x:c r="E112" s="31" t="str">
        <x:v>电控研发团队分工、协作方式与问题闭环流程</x:v>
      </x:c>
      <x:c r="F112" s="31" t="str">
        <x:v>A｜建议你主讲</x:v>
      </x:c>
      <x:c r="G112" s="31" t="str">
        <x:v>你主讲</x:v>
      </x:c>
      <x:c r="H112" s="31" t="str">
        <x:v>依赖真实项目决策、波形判断或完整调试经验，适合由课程负责人讲清工程取舍。</x:v>
      </x:c>
      <x:c r="I112" s="31" t="str">
        <x:v>原理讲解＋工程案例＋检查题</x:v>
      </x:c>
      <x:c r="J112" s="31" t="str">
        <x:v>讲稿、课件、示例、作业与答案</x:v>
      </x:c>
      <x:c r="K112" s="31" t="str">
        <x:v>核心</x:v>
      </x:c>
      <x:c r="L112" s="31" t="str">
        <x:v>待确认</x:v>
      </x:c>
      <x:c r="M112" s="31" t="str">
        <x:v>无</x:v>
      </x:c>
      <x:c r="N112" s="31" t="str"/>
    </x:row>
    <x:row r="113" ht="42" customHeight="1">
      <x:c r="A113" s="31" t="str">
        <x:v>Z0.04</x:v>
      </x:c>
      <x:c r="B113" s="31" t="str">
        <x:v>Z</x:v>
      </x:c>
      <x:c r="C113" s="31" t="str">
        <x:v>Z0</x:v>
      </x:c>
      <x:c r="D113" s="31" t="str">
        <x:v>电机控制工程认知与完整系统入门</x:v>
      </x:c>
      <x:c r="E113" s="31" t="str">
        <x:v>电机控制项目从需求、方案、开发到测试交付的完整流程</x:v>
      </x:c>
      <x:c r="F113" s="31" t="str">
        <x:v>A｜建议你主讲</x:v>
      </x:c>
      <x:c r="G113" s="31" t="str">
        <x:v>你主讲</x:v>
      </x:c>
      <x:c r="H113" s="31" t="str">
        <x:v>依赖真实项目决策、波形判断或完整调试经验，适合由课程负责人讲清工程取舍。</x:v>
      </x:c>
      <x:c r="I113" s="31" t="str">
        <x:v>方法讲解＋实测数据＋问题复盘</x:v>
      </x:c>
      <x:c r="J113" s="31" t="str">
        <x:v>讲稿、实验步骤、原始数据、处理脚本、结果说明</x:v>
      </x:c>
      <x:c r="K113" s="31" t="str">
        <x:v>核心</x:v>
      </x:c>
      <x:c r="L113" s="31" t="str">
        <x:v>待确认</x:v>
      </x:c>
      <x:c r="M113" s="31" t="str">
        <x:v>无</x:v>
      </x:c>
      <x:c r="N113" s="31" t="str"/>
    </x:row>
    <x:row r="114" ht="42" customHeight="1">
      <x:c r="A114" s="31" t="str">
        <x:v>Z0.05</x:v>
      </x:c>
      <x:c r="B114" s="31" t="str">
        <x:v>Z</x:v>
      </x:c>
      <x:c r="C114" s="31" t="str">
        <x:v>Z0</x:v>
      </x:c>
      <x:c r="D114" s="31" t="str">
        <x:v>电机控制工程认知与完整系统入门</x:v>
      </x:c>
      <x:c r="E114" s="31" t="str">
        <x:v>电能怎样从直流电源经过逆变器和 PMSM 变成机械输出</x:v>
      </x:c>
      <x:c r="F114" s="31" t="str">
        <x:v>A｜建议你主讲</x:v>
      </x:c>
      <x:c r="G114" s="31" t="str">
        <x:v>你主讲</x:v>
      </x:c>
      <x:c r="H114" s="31" t="str">
        <x:v>依赖真实项目决策、波形判断或完整调试经验，适合由课程负责人讲清工程取舍。</x:v>
      </x:c>
      <x:c r="I114" s="31" t="str">
        <x:v>原理图/计算＋板级测试</x:v>
      </x:c>
      <x:c r="J114" s="31" t="str">
        <x:v>讲稿、课件、示例、作业与答案</x:v>
      </x:c>
      <x:c r="K114" s="31" t="str">
        <x:v>核心</x:v>
      </x:c>
      <x:c r="L114" s="31" t="str">
        <x:v>待确认</x:v>
      </x:c>
      <x:c r="M114" s="31" t="str">
        <x:v>无</x:v>
      </x:c>
      <x:c r="N114" s="31" t="str"/>
    </x:row>
    <x:row r="115" ht="42" customHeight="1">
      <x:c r="A115" s="31" t="str">
        <x:v>Z0.06</x:v>
      </x:c>
      <x:c r="B115" s="31" t="str">
        <x:v>Z</x:v>
      </x:c>
      <x:c r="C115" s="31" t="str">
        <x:v>Z0</x:v>
      </x:c>
      <x:c r="D115" s="31" t="str">
        <x:v>电机控制工程认知与完整系统入门</x:v>
      </x:c>
      <x:c r="E115" s="31" t="str">
        <x:v>电流和位置怎样经过采样、计算、SVPWM 最终改变电机运行</x:v>
      </x:c>
      <x:c r="F115" s="31" t="str">
        <x:v>A｜建议你主讲</x:v>
      </x:c>
      <x:c r="G115" s="31" t="str">
        <x:v>你主讲</x:v>
      </x:c>
      <x:c r="H115" s="31" t="str">
        <x:v>依赖真实项目决策、波形判断或完整调试经验，适合由课程负责人讲清工程取舍。</x:v>
      </x:c>
      <x:c r="I115" s="31" t="str">
        <x:v>原理讲解＋工程案例＋检查题</x:v>
      </x:c>
      <x:c r="J115" s="31" t="str">
        <x:v>讲稿、课件、示例、作业与答案</x:v>
      </x:c>
      <x:c r="K115" s="31" t="str">
        <x:v>核心</x:v>
      </x:c>
      <x:c r="L115" s="31" t="str">
        <x:v>待确认</x:v>
      </x:c>
      <x:c r="M115" s="31" t="str">
        <x:v>无</x:v>
      </x:c>
      <x:c r="N115" s="31" t="str"/>
    </x:row>
    <x:row r="116" ht="42" customHeight="1">
      <x:c r="A116" s="31" t="str">
        <x:v>Z0.07</x:v>
      </x:c>
      <x:c r="B116" s="31" t="str">
        <x:v>Z</x:v>
      </x:c>
      <x:c r="C116" s="31" t="str">
        <x:v>Z0</x:v>
      </x:c>
      <x:c r="D116" s="31" t="str">
        <x:v>电机控制工程认知与完整系统入门</x:v>
      </x:c>
      <x:c r="E116" s="31" t="str">
        <x:v>电流环、速度环、位置环与有感/无感控制的完整过程</x:v>
      </x:c>
      <x:c r="F116" s="31" t="str">
        <x:v>A｜建议你主讲</x:v>
      </x:c>
      <x:c r="G116" s="31" t="str">
        <x:v>你主讲</x:v>
      </x:c>
      <x:c r="H116" s="31" t="str">
        <x:v>依赖真实项目决策、波形判断或完整调试经验，适合由课程负责人讲清工程取舍。</x:v>
      </x:c>
      <x:c r="I116" s="31" t="str">
        <x:v>原理讲解＋工程案例＋检查题</x:v>
      </x:c>
      <x:c r="J116" s="31" t="str">
        <x:v>讲稿、课件、示例、作业与答案</x:v>
      </x:c>
      <x:c r="K116" s="31" t="str">
        <x:v>核心</x:v>
      </x:c>
      <x:c r="L116" s="31" t="str">
        <x:v>待确认</x:v>
      </x:c>
      <x:c r="M116" s="31" t="str">
        <x:v>无</x:v>
      </x:c>
      <x:c r="N116" s="31" t="str"/>
    </x:row>
    <x:row r="117" ht="42" customHeight="1">
      <x:c r="A117" s="31" t="str">
        <x:v>Z0.08</x:v>
      </x:c>
      <x:c r="B117" s="31" t="str">
        <x:v>Z</x:v>
      </x:c>
      <x:c r="C117" s="31" t="str">
        <x:v>Z0</x:v>
      </x:c>
      <x:c r="D117" s="31" t="str">
        <x:v>电机控制工程认知与完整系统入门</x:v>
      </x:c>
      <x:c r="E117" s="31" t="str">
        <x:v>结合目标项目快速复核 SPM/IPM、极对数、电角度、转矩与负载关系</x:v>
      </x:c>
      <x:c r="F117" s="31" t="str">
        <x:v>A｜建议你主讲</x:v>
      </x:c>
      <x:c r="G117" s="31" t="str">
        <x:v>你主讲</x:v>
      </x:c>
      <x:c r="H117" s="31" t="str">
        <x:v>依赖真实项目决策、波形判断或完整调试经验，适合由课程负责人讲清工程取舍。</x:v>
      </x:c>
      <x:c r="I117" s="31" t="str">
        <x:v>原理讲解＋工程案例＋检查题</x:v>
      </x:c>
      <x:c r="J117" s="31" t="str">
        <x:v>讲稿、课件、示例、作业与答案</x:v>
      </x:c>
      <x:c r="K117" s="31" t="str">
        <x:v>核心</x:v>
      </x:c>
      <x:c r="L117" s="31" t="str">
        <x:v>待确认</x:v>
      </x:c>
      <x:c r="M117" s="31" t="str">
        <x:v>无</x:v>
      </x:c>
      <x:c r="N117" s="31" t="str"/>
    </x:row>
    <x:row r="118" ht="42" customHeight="1">
      <x:c r="A118" s="31" t="str">
        <x:v>Z0.09</x:v>
      </x:c>
      <x:c r="B118" s="31" t="str">
        <x:v>Z</x:v>
      </x:c>
      <x:c r="C118" s="31" t="str">
        <x:v>Z0</x:v>
      </x:c>
      <x:c r="D118" s="31" t="str">
        <x:v>电机控制工程认知与完整系统入门</x:v>
      </x:c>
      <x:c r="E118" s="31" t="str">
        <x:v>统一本项目使用的硬件、控制、软件、保护、仿真与测试术语</x:v>
      </x:c>
      <x:c r="F118" s="31" t="str">
        <x:v>A｜建议你主讲</x:v>
      </x:c>
      <x:c r="G118" s="31" t="str">
        <x:v>你主讲</x:v>
      </x:c>
      <x:c r="H118" s="31" t="str">
        <x:v>依赖真实项目决策、波形判断或完整调试经验，适合由课程负责人讲清工程取舍。</x:v>
      </x:c>
      <x:c r="I118" s="31" t="str">
        <x:v>方法讲解＋实测数据＋问题复盘</x:v>
      </x:c>
      <x:c r="J118" s="31" t="str">
        <x:v>讲稿、实验步骤、原始数据、处理脚本、结果说明</x:v>
      </x:c>
      <x:c r="K118" s="31" t="str">
        <x:v>核心</x:v>
      </x:c>
      <x:c r="L118" s="31" t="str">
        <x:v>待确认</x:v>
      </x:c>
      <x:c r="M118" s="31" t="str">
        <x:v>无</x:v>
      </x:c>
      <x:c r="N118" s="31" t="str"/>
    </x:row>
    <x:row r="119" ht="42" customHeight="1">
      <x:c r="A119" s="31" t="str">
        <x:v>Z0.10</x:v>
      </x:c>
      <x:c r="B119" s="31" t="str">
        <x:v>Z</x:v>
      </x:c>
      <x:c r="C119" s="31" t="str">
        <x:v>Z0</x:v>
      </x:c>
      <x:c r="D119" s="31" t="str">
        <x:v>电机控制工程认知与完整系统入门</x:v>
      </x:c>
      <x:c r="E119" s="31" t="str">
        <x:v>公式、模型、代码、波形与实机现象的工程证据关系</x:v>
      </x:c>
      <x:c r="F119" s="31" t="str">
        <x:v>A｜建议你主讲</x:v>
      </x:c>
      <x:c r="G119" s="31" t="str">
        <x:v>你主讲</x:v>
      </x:c>
      <x:c r="H119" s="31" t="str">
        <x:v>依赖真实项目决策、波形判断或完整调试经验，适合由课程负责人讲清工程取舍。</x:v>
      </x:c>
      <x:c r="I119" s="31" t="str">
        <x:v>方法讲解＋实测数据＋问题复盘</x:v>
      </x:c>
      <x:c r="J119" s="31" t="str">
        <x:v>讲稿、可运行代码、配置说明、最小测试</x:v>
      </x:c>
      <x:c r="K119" s="31" t="str">
        <x:v>核心</x:v>
      </x:c>
      <x:c r="L119" s="31" t="str">
        <x:v>待确认</x:v>
      </x:c>
      <x:c r="M119" s="31" t="str">
        <x:v>无</x:v>
      </x:c>
      <x:c r="N119" s="31" t="str"/>
    </x:row>
    <x:row r="120" ht="42" customHeight="1">
      <x:c r="A120" s="31" t="str">
        <x:v>Z0.11</x:v>
      </x:c>
      <x:c r="B120" s="31" t="str">
        <x:v>Z</x:v>
      </x:c>
      <x:c r="C120" s="31" t="str">
        <x:v>Z0</x:v>
      </x:c>
      <x:c r="D120" s="31" t="str">
        <x:v>电机控制工程认知与完整系统入门</x:v>
      </x:c>
      <x:c r="E120" s="31" t="str">
        <x:v>从“不转、过流、振荡、发热”建立分层问题定位思路</x:v>
      </x:c>
      <x:c r="F120" s="31" t="str">
        <x:v>A｜建议你主讲</x:v>
      </x:c>
      <x:c r="G120" s="31" t="str">
        <x:v>你主讲</x:v>
      </x:c>
      <x:c r="H120" s="31" t="str">
        <x:v>依赖真实项目决策、波形判断或完整调试经验，适合由课程负责人讲清工程取舍。</x:v>
      </x:c>
      <x:c r="I120" s="31" t="str">
        <x:v>原理图/计算＋板级测试</x:v>
      </x:c>
      <x:c r="J120" s="31" t="str">
        <x:v>讲稿、原理图/计算、板级测试记录、检查清单</x:v>
      </x:c>
      <x:c r="K120" s="31" t="str">
        <x:v>核心</x:v>
      </x:c>
      <x:c r="L120" s="31" t="str">
        <x:v>待确认</x:v>
      </x:c>
      <x:c r="M120" s="31" t="str">
        <x:v>无</x:v>
      </x:c>
      <x:c r="N120" s="31" t="str"/>
    </x:row>
    <x:row r="121" ht="42" customHeight="1">
      <x:c r="A121" s="31" t="str">
        <x:v>Z0.12</x:v>
      </x:c>
      <x:c r="B121" s="31" t="str">
        <x:v>Z</x:v>
      </x:c>
      <x:c r="C121" s="31" t="str">
        <x:v>Z0</x:v>
      </x:c>
      <x:c r="D121" s="31" t="str">
        <x:v>电机控制工程认知与完整系统入门</x:v>
      </x:c>
      <x:c r="E121" s="31" t="str">
        <x:v>确定 Z1—Z8 的项目顺序、实验节点、稳定版本与阶段交付</x:v>
      </x:c>
      <x:c r="F121" s="31" t="str">
        <x:v>A｜建议你主讲</x:v>
      </x:c>
      <x:c r="G121" s="31" t="str">
        <x:v>你主讲</x:v>
      </x:c>
      <x:c r="H121" s="31" t="str">
        <x:v>依赖真实项目决策、波形判断或完整调试经验，适合由课程负责人讲清工程取舍。</x:v>
      </x:c>
      <x:c r="I121" s="31" t="str">
        <x:v>方法讲解＋实测数据＋问题复盘</x:v>
      </x:c>
      <x:c r="J121" s="31" t="str">
        <x:v>讲稿、实验步骤、原始数据、处理脚本、结果说明</x:v>
      </x:c>
      <x:c r="K121" s="31" t="str">
        <x:v>核心</x:v>
      </x:c>
      <x:c r="L121" s="31" t="str">
        <x:v>待确认</x:v>
      </x:c>
      <x:c r="M121" s="31" t="str">
        <x:v>无</x:v>
      </x:c>
      <x:c r="N121" s="31" t="str"/>
    </x:row>
    <x:row r="122" ht="42" customHeight="1">
      <x:c r="A122" s="31" t="str">
        <x:v>Z1.01</x:v>
      </x:c>
      <x:c r="B122" s="31" t="str">
        <x:v>Z</x:v>
      </x:c>
      <x:c r="C122" s="31" t="str">
        <x:v>Z1</x:v>
      </x:c>
      <x:c r="D122" s="31" t="str">
        <x:v>硬件底层配置与板级验证</x:v>
      </x:c>
      <x:c r="E122" s="31" t="str">
        <x:v>控制板原理图分区、关键器件识别与 MCU 资源映射</x:v>
      </x:c>
      <x:c r="F122" s="31" t="str">
        <x:v>B｜你主讲，专项老师补充</x:v>
      </x:c>
      <x:c r="G122" s="31" t="str">
        <x:v>你主讲，专项老师补充</x:v>
      </x:c>
      <x:c r="H122" s="31" t="str">
        <x:v>属于核心专项，课程负责人控制主线，再由有实机经验的老师补充算法细节和适用边界。</x:v>
      </x:c>
      <x:c r="I122" s="31" t="str">
        <x:v>原理＋代码演示＋最小练习</x:v>
      </x:c>
      <x:c r="J122" s="31" t="str">
        <x:v>讲稿、可运行代码、配置说明、最小测试</x:v>
      </x:c>
      <x:c r="K122" s="31" t="str">
        <x:v>核心</x:v>
      </x:c>
      <x:c r="L122" s="31" t="str">
        <x:v>待确认</x:v>
      </x:c>
      <x:c r="M122" s="31" t="str">
        <x:v>参考所属系列前序模块</x:v>
      </x:c>
      <x:c r="N122" s="31" t="str"/>
    </x:row>
    <x:row r="123" ht="42" customHeight="1">
      <x:c r="A123" s="31" t="str">
        <x:v>Z1.02</x:v>
      </x:c>
      <x:c r="B123" s="31" t="str">
        <x:v>Z</x:v>
      </x:c>
      <x:c r="C123" s="31" t="str">
        <x:v>Z1</x:v>
      </x:c>
      <x:c r="D123" s="31" t="str">
        <x:v>硬件底层配置与板级验证</x:v>
      </x:c>
      <x:c r="E123" s="31" t="str">
        <x:v>PinMap、有效电平、ADC 通道、PWM 极性与硬件事实表建立</x:v>
      </x:c>
      <x:c r="F123" s="31" t="str">
        <x:v>B｜你主讲，专项老师补充</x:v>
      </x:c>
      <x:c r="G123" s="31" t="str">
        <x:v>你主讲，专项老师补充</x:v>
      </x:c>
      <x:c r="H123" s="31" t="str">
        <x:v>属于核心专项，课程负责人控制主线，再由有实机经验的老师补充算法细节和适用边界。</x:v>
      </x:c>
      <x:c r="I123" s="31" t="str">
        <x:v>原理图/计算＋板级测试</x:v>
      </x:c>
      <x:c r="J123" s="31" t="str">
        <x:v>讲稿、原理图/计算、板级测试记录、检查清单</x:v>
      </x:c>
      <x:c r="K123" s="31" t="str">
        <x:v>核心</x:v>
      </x:c>
      <x:c r="L123" s="31" t="str">
        <x:v>待确认</x:v>
      </x:c>
      <x:c r="M123" s="31" t="str">
        <x:v>参考所属系列前序模块</x:v>
      </x:c>
      <x:c r="N123" s="31" t="str"/>
    </x:row>
    <x:row r="124" ht="42" customHeight="1">
      <x:c r="A124" s="31" t="str">
        <x:v>Z1.03</x:v>
      </x:c>
      <x:c r="B124" s="31" t="str">
        <x:v>Z</x:v>
      </x:c>
      <x:c r="C124" s="31" t="str">
        <x:v>Z1</x:v>
      </x:c>
      <x:c r="D124" s="31" t="str">
        <x:v>硬件底层配置与板级验证</x:v>
      </x:c>
      <x:c r="E124" s="31" t="str">
        <x:v>电源树、辅助电源、时钟、复位、BOOT 与分级上电检查</x:v>
      </x:c>
      <x:c r="F124" s="31" t="str">
        <x:v>B｜你主讲，专项老师补充</x:v>
      </x:c>
      <x:c r="G124" s="31" t="str">
        <x:v>你主讲，专项老师补充</x:v>
      </x:c>
      <x:c r="H124" s="31" t="str">
        <x:v>属于核心专项，课程负责人控制主线，再由有实机经验的老师补充算法细节和适用边界。</x:v>
      </x:c>
      <x:c r="I124" s="31" t="str">
        <x:v>原理图/计算＋板级测试</x:v>
      </x:c>
      <x:c r="J124" s="31" t="str">
        <x:v>讲稿、课件、示例、作业与答案</x:v>
      </x:c>
      <x:c r="K124" s="31" t="str">
        <x:v>核心</x:v>
      </x:c>
      <x:c r="L124" s="31" t="str">
        <x:v>待确认</x:v>
      </x:c>
      <x:c r="M124" s="31" t="str">
        <x:v>参考所属系列前序模块</x:v>
      </x:c>
      <x:c r="N124" s="31" t="str"/>
    </x:row>
    <x:row r="125" ht="42" customHeight="1">
      <x:c r="A125" s="31" t="str">
        <x:v>Z1.04</x:v>
      </x:c>
      <x:c r="B125" s="31" t="str">
        <x:v>Z</x:v>
      </x:c>
      <x:c r="C125" s="31" t="str">
        <x:v>Z1</x:v>
      </x:c>
      <x:c r="D125" s="31" t="str">
        <x:v>硬件底层配置与板级验证</x:v>
      </x:c>
      <x:c r="E125" s="31" t="str">
        <x:v>GPIO、定时器、中断与可复现基础工程配置</x:v>
      </x:c>
      <x:c r="F125" s="31" t="str">
        <x:v>B｜你主讲，专项老师补充</x:v>
      </x:c>
      <x:c r="G125" s="31" t="str">
        <x:v>你主讲，专项老师补充</x:v>
      </x:c>
      <x:c r="H125" s="31" t="str">
        <x:v>属于核心专项，课程负责人控制主线，再由有实机经验的老师补充算法细节和适用边界。</x:v>
      </x:c>
      <x:c r="I125" s="31" t="str">
        <x:v>原理＋代码演示＋最小练习</x:v>
      </x:c>
      <x:c r="J125" s="31" t="str">
        <x:v>讲稿、可运行代码、配置说明、最小测试</x:v>
      </x:c>
      <x:c r="K125" s="31" t="str">
        <x:v>核心</x:v>
      </x:c>
      <x:c r="L125" s="31" t="str">
        <x:v>待确认</x:v>
      </x:c>
      <x:c r="M125" s="31" t="str">
        <x:v>参考所属系列前序模块</x:v>
      </x:c>
      <x:c r="N125" s="31" t="str"/>
    </x:row>
    <x:row r="126" ht="42" customHeight="1">
      <x:c r="A126" s="31" t="str">
        <x:v>Z1.05</x:v>
      </x:c>
      <x:c r="B126" s="31" t="str">
        <x:v>Z</x:v>
      </x:c>
      <x:c r="C126" s="31" t="str">
        <x:v>Z1</x:v>
      </x:c>
      <x:c r="D126" s="31" t="str">
        <x:v>硬件底层配置与板级验证</x:v>
      </x:c>
      <x:c r="E126" s="31" t="str">
        <x:v>三相中心对齐互补 PWM、计数周期与同步更新配置验证</x:v>
      </x:c>
      <x:c r="F126" s="31" t="str">
        <x:v>B｜你主讲，专项老师补充</x:v>
      </x:c>
      <x:c r="G126" s="31" t="str">
        <x:v>你主讲，专项老师补充</x:v>
      </x:c>
      <x:c r="H126" s="31" t="str">
        <x:v>属于核心专项，课程负责人控制主线，再由有实机经验的老师补充算法细节和适用边界。</x:v>
      </x:c>
      <x:c r="I126" s="31" t="str">
        <x:v>原理＋代码演示＋最小练习</x:v>
      </x:c>
      <x:c r="J126" s="31" t="str">
        <x:v>讲稿、可运行代码、配置说明、最小测试</x:v>
      </x:c>
      <x:c r="K126" s="31" t="str">
        <x:v>核心</x:v>
      </x:c>
      <x:c r="L126" s="31" t="str">
        <x:v>待确认</x:v>
      </x:c>
      <x:c r="M126" s="31" t="str">
        <x:v>参考所属系列前序模块</x:v>
      </x:c>
      <x:c r="N126" s="31" t="str"/>
    </x:row>
    <x:row r="127" ht="42" customHeight="1">
      <x:c r="A127" s="31" t="str">
        <x:v>Z1.06</x:v>
      </x:c>
      <x:c r="B127" s="31" t="str">
        <x:v>Z</x:v>
      </x:c>
      <x:c r="C127" s="31" t="str">
        <x:v>Z1</x:v>
      </x:c>
      <x:c r="D127" s="31" t="str">
        <x:v>硬件底层配置与板级验证</x:v>
      </x:c>
      <x:c r="E127" s="31" t="str">
        <x:v>Gate Driver、自举供电、死区、Enable、Fault 与 Break 关断验证</x:v>
      </x:c>
      <x:c r="F127" s="31" t="str">
        <x:v>C｜专项老师主讲，你负责衔接与验收</x:v>
      </x:c>
      <x:c r="G127" s="31" t="str">
        <x:v>专项老师主讲，你负责课程衔接与验收</x:v>
      </x:c>
      <x:c r="H127" s="31" t="str">
        <x:v>需要较强的专项设计或产品化经验，建议由对应专家主讲，课程负责人负责与主线衔接。</x:v>
      </x:c>
      <x:c r="I127" s="31" t="str">
        <x:v>原理图/计算＋板级测试</x:v>
      </x:c>
      <x:c r="J127" s="31" t="str">
        <x:v>讲稿、原理图/计算、板级测试记录、检查清单</x:v>
      </x:c>
      <x:c r="K127" s="31" t="str">
        <x:v>核心</x:v>
      </x:c>
      <x:c r="L127" s="31" t="str">
        <x:v>待确认</x:v>
      </x:c>
      <x:c r="M127" s="31" t="str">
        <x:v>参考所属系列前序模块</x:v>
      </x:c>
      <x:c r="N127" s="31" t="str"/>
    </x:row>
    <x:row r="128" ht="42" customHeight="1">
      <x:c r="A128" s="31" t="str">
        <x:v>Z1.07</x:v>
      </x:c>
      <x:c r="B128" s="31" t="str">
        <x:v>Z</x:v>
      </x:c>
      <x:c r="C128" s="31" t="str">
        <x:v>Z1</x:v>
      </x:c>
      <x:c r="D128" s="31" t="str">
        <x:v>硬件底层配置与板级验证</x:v>
      </x:c>
      <x:c r="E128" s="31" t="str">
        <x:v>ADC、片内/外部运放、DMA/注入组与多通道采样配置</x:v>
      </x:c>
      <x:c r="F128" s="31" t="str">
        <x:v>B｜你主讲，专项老师补充</x:v>
      </x:c>
      <x:c r="G128" s="31" t="str">
        <x:v>你主讲，专项老师补充</x:v>
      </x:c>
      <x:c r="H128" s="31" t="str">
        <x:v>属于核心专项，课程负责人控制主线，再由有实机经验的老师补充算法细节和适用边界。</x:v>
      </x:c>
      <x:c r="I128" s="31" t="str">
        <x:v>原理图/计算＋板级测试</x:v>
      </x:c>
      <x:c r="J128" s="31" t="str">
        <x:v>讲稿、可运行代码、配置说明、最小测试</x:v>
      </x:c>
      <x:c r="K128" s="31" t="str">
        <x:v>核心</x:v>
      </x:c>
      <x:c r="L128" s="31" t="str">
        <x:v>待确认</x:v>
      </x:c>
      <x:c r="M128" s="31" t="str">
        <x:v>参考所属系列前序模块</x:v>
      </x:c>
      <x:c r="N128" s="31" t="str"/>
    </x:row>
    <x:row r="129" ht="42" customHeight="1">
      <x:c r="A129" s="31" t="str">
        <x:v>Z1.08</x:v>
      </x:c>
      <x:c r="B129" s="31" t="str">
        <x:v>Z</x:v>
      </x:c>
      <x:c r="C129" s="31" t="str">
        <x:v>Z1</x:v>
      </x:c>
      <x:c r="D129" s="31" t="str">
        <x:v>硬件底层配置与板级验证</x:v>
      </x:c>
      <x:c r="E129" s="31" t="str">
        <x:v>PWM 触发 ADC、转换序列与真实采样时刻示波器验证</x:v>
      </x:c>
      <x:c r="F129" s="31" t="str">
        <x:v>B｜你主讲，专项老师补充</x:v>
      </x:c>
      <x:c r="G129" s="31" t="str">
        <x:v>你主讲，专项老师补充</x:v>
      </x:c>
      <x:c r="H129" s="31" t="str">
        <x:v>属于核心专项，课程负责人控制主线，再由有实机经验的老师补充算法细节和适用边界。</x:v>
      </x:c>
      <x:c r="I129" s="31" t="str">
        <x:v>原理图/计算＋板级测试</x:v>
      </x:c>
      <x:c r="J129" s="31" t="str">
        <x:v>讲稿、课件、示例、作业与答案</x:v>
      </x:c>
      <x:c r="K129" s="31" t="str">
        <x:v>核心</x:v>
      </x:c>
      <x:c r="L129" s="31" t="str">
        <x:v>待确认</x:v>
      </x:c>
      <x:c r="M129" s="31" t="str">
        <x:v>参考所属系列前序模块</x:v>
      </x:c>
      <x:c r="N129" s="31" t="str"/>
    </x:row>
    <x:row r="130" ht="42" customHeight="1">
      <x:c r="A130" s="31" t="str">
        <x:v>Z1.09</x:v>
      </x:c>
      <x:c r="B130" s="31" t="str">
        <x:v>Z</x:v>
      </x:c>
      <x:c r="C130" s="31" t="str">
        <x:v>Z1</x:v>
      </x:c>
      <x:c r="D130" s="31" t="str">
        <x:v>硬件底层配置与板级验证</x:v>
      </x:c>
      <x:c r="E130" s="31" t="str">
        <x:v>编码器、Hall、母线电压、温度与辅助传感器接口调通</x:v>
      </x:c>
      <x:c r="F130" s="31" t="str">
        <x:v>B｜你主讲，专项老师补充</x:v>
      </x:c>
      <x:c r="G130" s="31" t="str">
        <x:v>你主讲，专项老师补充</x:v>
      </x:c>
      <x:c r="H130" s="31" t="str">
        <x:v>属于核心专项，课程负责人控制主线，再由有实机经验的老师补充算法细节和适用边界。</x:v>
      </x:c>
      <x:c r="I130" s="31" t="str">
        <x:v>原理＋代码演示＋最小练习</x:v>
      </x:c>
      <x:c r="J130" s="31" t="str">
        <x:v>讲稿、课件、示例、作业与答案</x:v>
      </x:c>
      <x:c r="K130" s="31" t="str">
        <x:v>核心</x:v>
      </x:c>
      <x:c r="L130" s="31" t="str">
        <x:v>待确认</x:v>
      </x:c>
      <x:c r="M130" s="31" t="str">
        <x:v>参考所属系列前序模块</x:v>
      </x:c>
      <x:c r="N130" s="31" t="str"/>
    </x:row>
    <x:row r="131" ht="42" customHeight="1">
      <x:c r="A131" s="31" t="str">
        <x:v>Z1.10</x:v>
      </x:c>
      <x:c r="B131" s="31" t="str">
        <x:v>Z</x:v>
      </x:c>
      <x:c r="C131" s="31" t="str">
        <x:v>Z1</x:v>
      </x:c>
      <x:c r="D131" s="31" t="str">
        <x:v>硬件底层配置与板级验证</x:v>
      </x:c>
      <x:c r="E131" s="31" t="str">
        <x:v>UART、CAN/FDCAN、SPI 与上位机基础调试功能配置</x:v>
      </x:c>
      <x:c r="F131" s="31" t="str">
        <x:v>B｜你主讲，专项老师补充</x:v>
      </x:c>
      <x:c r="G131" s="31" t="str">
        <x:v>你主讲，专项老师补充</x:v>
      </x:c>
      <x:c r="H131" s="31" t="str">
        <x:v>属于核心专项，课程负责人控制主线，再由有实机经验的老师补充算法细节和适用边界。</x:v>
      </x:c>
      <x:c r="I131" s="31" t="str">
        <x:v>方法讲解＋实测数据＋问题复盘</x:v>
      </x:c>
      <x:c r="J131" s="31" t="str">
        <x:v>讲稿、实验步骤、原始数据、处理脚本、结果说明</x:v>
      </x:c>
      <x:c r="K131" s="31" t="str">
        <x:v>核心</x:v>
      </x:c>
      <x:c r="L131" s="31" t="str">
        <x:v>待确认</x:v>
      </x:c>
      <x:c r="M131" s="31" t="str">
        <x:v>参考所属系列前序模块</x:v>
      </x:c>
      <x:c r="N131" s="31" t="str"/>
    </x:row>
    <x:row r="132" ht="42" customHeight="1">
      <x:c r="A132" s="31" t="str">
        <x:v>Z1.11</x:v>
      </x:c>
      <x:c r="B132" s="31" t="str">
        <x:v>Z</x:v>
      </x:c>
      <x:c r="C132" s="31" t="str">
        <x:v>Z1</x:v>
      </x:c>
      <x:c r="D132" s="31" t="str">
        <x:v>硬件底层配置与板级验证</x:v>
      </x:c>
      <x:c r="E132" s="31" t="str">
        <x:v>万用表、示波器、差分探头、逻辑分析仪与 Debug GPIO 测量方法</x:v>
      </x:c>
      <x:c r="F132" s="31" t="str">
        <x:v>B｜你主讲，专项老师补充</x:v>
      </x:c>
      <x:c r="G132" s="31" t="str">
        <x:v>你主讲，专项老师补充</x:v>
      </x:c>
      <x:c r="H132" s="31" t="str">
        <x:v>属于核心专项，课程负责人控制主线，再由有实机经验的老师补充算法细节和适用边界。</x:v>
      </x:c>
      <x:c r="I132" s="31" t="str">
        <x:v>原理讲解＋工程案例＋检查题</x:v>
      </x:c>
      <x:c r="J132" s="31" t="str">
        <x:v>讲稿、课件、示例、作业与答案</x:v>
      </x:c>
      <x:c r="K132" s="31" t="str">
        <x:v>核心</x:v>
      </x:c>
      <x:c r="L132" s="31" t="str">
        <x:v>待确认</x:v>
      </x:c>
      <x:c r="M132" s="31" t="str">
        <x:v>参考所属系列前序模块</x:v>
      </x:c>
      <x:c r="N132" s="31" t="str"/>
    </x:row>
    <x:row r="133" ht="42" customHeight="1">
      <x:c r="A133" s="31" t="str">
        <x:v>Z1.12</x:v>
      </x:c>
      <x:c r="B133" s="31" t="str">
        <x:v>Z</x:v>
      </x:c>
      <x:c r="C133" s="31" t="str">
        <x:v>Z1</x:v>
      </x:c>
      <x:c r="D133" s="31" t="str">
        <x:v>硬件底层配置与板级验证</x:v>
      </x:c>
      <x:c r="E133" s="31" t="str">
        <x:v>低压限流上电、PWM 逐级使能与板级安全准入测试</x:v>
      </x:c>
      <x:c r="F133" s="31" t="str">
        <x:v>B｜你主讲，专项老师补充</x:v>
      </x:c>
      <x:c r="G133" s="31" t="str">
        <x:v>你主讲，专项老师补充</x:v>
      </x:c>
      <x:c r="H133" s="31" t="str">
        <x:v>属于核心专项，课程负责人控制主线，再由有实机经验的老师补充算法细节和适用边界。</x:v>
      </x:c>
      <x:c r="I133" s="31" t="str">
        <x:v>方法讲解＋实测数据＋问题复盘</x:v>
      </x:c>
      <x:c r="J133" s="31" t="str">
        <x:v>讲稿、实验步骤、原始数据、处理脚本、结果说明</x:v>
      </x:c>
      <x:c r="K133" s="31" t="str">
        <x:v>核心</x:v>
      </x:c>
      <x:c r="L133" s="31" t="str">
        <x:v>待确认</x:v>
      </x:c>
      <x:c r="M133" s="31" t="str">
        <x:v>参考所属系列前序模块</x:v>
      </x:c>
      <x:c r="N133" s="31" t="str"/>
    </x:row>
    <x:row r="134" ht="42" customHeight="1">
      <x:c r="A134" s="31" t="str">
        <x:v>Z2.01</x:v>
      </x:c>
      <x:c r="B134" s="31" t="str">
        <x:v>Z</x:v>
      </x:c>
      <x:c r="C134" s="31" t="str">
        <x:v>Z2</x:v>
      </x:c>
      <x:c r="D134" s="31" t="str">
        <x:v>信号处理、标定与统一数据接口</x:v>
      </x:c>
      <x:c r="E134" s="31" t="str">
        <x:v>从 Shunt、运放、ADC 码值到相电流物理量的完整转换链</x:v>
      </x:c>
      <x:c r="F134" s="31" t="str">
        <x:v>A｜建议你主讲</x:v>
      </x:c>
      <x:c r="G134" s="31" t="str">
        <x:v>你主讲</x:v>
      </x:c>
      <x:c r="H134" s="31" t="str">
        <x:v>依赖真实项目决策、波形判断或完整调试经验，适合由课程负责人讲清工程取舍。</x:v>
      </x:c>
      <x:c r="I134" s="31" t="str">
        <x:v>原理图/计算＋板级测试</x:v>
      </x:c>
      <x:c r="J134" s="31" t="str">
        <x:v>讲稿、课件、示例、作业与答案</x:v>
      </x:c>
      <x:c r="K134" s="31" t="str">
        <x:v>核心</x:v>
      </x:c>
      <x:c r="L134" s="31" t="str">
        <x:v>待确认</x:v>
      </x:c>
      <x:c r="M134" s="31" t="str">
        <x:v>参考所属系列前序模块</x:v>
      </x:c>
      <x:c r="N134" s="31" t="str"/>
    </x:row>
    <x:row r="135" ht="42" customHeight="1">
      <x:c r="A135" s="31" t="str">
        <x:v>Z2.02</x:v>
      </x:c>
      <x:c r="B135" s="31" t="str">
        <x:v>Z</x:v>
      </x:c>
      <x:c r="C135" s="31" t="str">
        <x:v>Z2</x:v>
      </x:c>
      <x:c r="D135" s="31" t="str">
        <x:v>信号处理、标定与统一数据接口</x:v>
      </x:c>
      <x:c r="E135" s="31" t="str">
        <x:v>电流 Offset、增益、方向、相序、量程与温漂校准</x:v>
      </x:c>
      <x:c r="F135" s="31" t="str">
        <x:v>A｜建议你主讲</x:v>
      </x:c>
      <x:c r="G135" s="31" t="str">
        <x:v>你主讲</x:v>
      </x:c>
      <x:c r="H135" s="31" t="str">
        <x:v>依赖真实项目决策、波形判断或完整调试经验，适合由课程负责人讲清工程取舍。</x:v>
      </x:c>
      <x:c r="I135" s="31" t="str">
        <x:v>原理讲解＋工程案例＋检查题</x:v>
      </x:c>
      <x:c r="J135" s="31" t="str">
        <x:v>讲稿、课件、示例、作业与答案</x:v>
      </x:c>
      <x:c r="K135" s="31" t="str">
        <x:v>核心</x:v>
      </x:c>
      <x:c r="L135" s="31" t="str">
        <x:v>待确认</x:v>
      </x:c>
      <x:c r="M135" s="31" t="str">
        <x:v>参考所属系列前序模块</x:v>
      </x:c>
      <x:c r="N135" s="31" t="str"/>
    </x:row>
    <x:row r="136" ht="42" customHeight="1">
      <x:c r="A136" s="31" t="str">
        <x:v>Z2.03</x:v>
      </x:c>
      <x:c r="B136" s="31" t="str">
        <x:v>Z</x:v>
      </x:c>
      <x:c r="C136" s="31" t="str">
        <x:v>Z2</x:v>
      </x:c>
      <x:c r="D136" s="31" t="str">
        <x:v>信号处理、标定与统一数据接口</x:v>
      </x:c>
      <x:c r="E136" s="31" t="str">
        <x:v>两相/三相电流采样关系、第三相重构与 Ia+Ib+Ic 一致性验证</x:v>
      </x:c>
      <x:c r="F136" s="31" t="str">
        <x:v>A｜建议你主讲</x:v>
      </x:c>
      <x:c r="G136" s="31" t="str">
        <x:v>你主讲</x:v>
      </x:c>
      <x:c r="H136" s="31" t="str">
        <x:v>依赖真实项目决策、波形判断或完整调试经验，适合由课程负责人讲清工程取舍。</x:v>
      </x:c>
      <x:c r="I136" s="31" t="str">
        <x:v>原理讲解＋工程案例＋检查题</x:v>
      </x:c>
      <x:c r="J136" s="31" t="str">
        <x:v>讲稿、课件、示例、作业与答案</x:v>
      </x:c>
      <x:c r="K136" s="31" t="str">
        <x:v>核心</x:v>
      </x:c>
      <x:c r="L136" s="31" t="str">
        <x:v>待确认</x:v>
      </x:c>
      <x:c r="M136" s="31" t="str">
        <x:v>参考所属系列前序模块</x:v>
      </x:c>
      <x:c r="N136" s="31" t="str"/>
    </x:row>
    <x:row r="137" ht="42" customHeight="1">
      <x:c r="A137" s="31" t="str">
        <x:v>Z2.04</x:v>
      </x:c>
      <x:c r="B137" s="31" t="str">
        <x:v>Z</x:v>
      </x:c>
      <x:c r="C137" s="31" t="str">
        <x:v>Z2</x:v>
      </x:c>
      <x:c r="D137" s="31" t="str">
        <x:v>信号处理、标定与统一数据接口</x:v>
      </x:c>
      <x:c r="E137" s="31" t="str">
        <x:v>PWM 开关状态、采样窗口、开关毛刺与数据可信度判断</x:v>
      </x:c>
      <x:c r="F137" s="31" t="str">
        <x:v>A｜建议你主讲</x:v>
      </x:c>
      <x:c r="G137" s="31" t="str">
        <x:v>你主讲</x:v>
      </x:c>
      <x:c r="H137" s="31" t="str">
        <x:v>依赖真实项目决策、波形判断或完整调试经验，适合由课程负责人讲清工程取舍。</x:v>
      </x:c>
      <x:c r="I137" s="31" t="str">
        <x:v>原理讲解＋工程案例＋检查题</x:v>
      </x:c>
      <x:c r="J137" s="31" t="str">
        <x:v>讲稿、课件、示例、作业与答案</x:v>
      </x:c>
      <x:c r="K137" s="31" t="str">
        <x:v>核心</x:v>
      </x:c>
      <x:c r="L137" s="31" t="str">
        <x:v>待确认</x:v>
      </x:c>
      <x:c r="M137" s="31" t="str">
        <x:v>参考所属系列前序模块</x:v>
      </x:c>
      <x:c r="N137" s="31" t="str"/>
    </x:row>
    <x:row r="138" ht="42" customHeight="1">
      <x:c r="A138" s="31" t="str">
        <x:v>Z2.05</x:v>
      </x:c>
      <x:c r="B138" s="31" t="str">
        <x:v>Z</x:v>
      </x:c>
      <x:c r="C138" s="31" t="str">
        <x:v>Z2</x:v>
      </x:c>
      <x:c r="D138" s="31" t="str">
        <x:v>信号处理、标定与统一数据接口</x:v>
      </x:c>
      <x:c r="E138" s="31" t="str">
        <x:v>ADC 通道顺序、DMA 缓冲、时间戳与本拍/上一拍数据对应</x:v>
      </x:c>
      <x:c r="F138" s="31" t="str">
        <x:v>A｜建议你主讲</x:v>
      </x:c>
      <x:c r="G138" s="31" t="str">
        <x:v>你主讲</x:v>
      </x:c>
      <x:c r="H138" s="31" t="str">
        <x:v>依赖真实项目决策、波形判断或完整调试经验，适合由课程负责人讲清工程取舍。</x:v>
      </x:c>
      <x:c r="I138" s="31" t="str">
        <x:v>原理图/计算＋板级测试</x:v>
      </x:c>
      <x:c r="J138" s="31" t="str">
        <x:v>讲稿、课件、示例、作业与答案</x:v>
      </x:c>
      <x:c r="K138" s="31" t="str">
        <x:v>核心</x:v>
      </x:c>
      <x:c r="L138" s="31" t="str">
        <x:v>待确认</x:v>
      </x:c>
      <x:c r="M138" s="31" t="str">
        <x:v>参考所属系列前序模块</x:v>
      </x:c>
      <x:c r="N138" s="31" t="str"/>
    </x:row>
    <x:row r="139" ht="42" customHeight="1">
      <x:c r="A139" s="31" t="str">
        <x:v>Z2.06</x:v>
      </x:c>
      <x:c r="B139" s="31" t="str">
        <x:v>Z</x:v>
      </x:c>
      <x:c r="C139" s="31" t="str">
        <x:v>Z2</x:v>
      </x:c>
      <x:c r="D139" s="31" t="str">
        <x:v>信号处理、标定与统一数据接口</x:v>
      </x:c>
      <x:c r="E139" s="31" t="str">
        <x:v>母线电压、温度及辅助模拟量的转换、标定与有效范围</x:v>
      </x:c>
      <x:c r="F139" s="31" t="str">
        <x:v>A｜建议你主讲</x:v>
      </x:c>
      <x:c r="G139" s="31" t="str">
        <x:v>你主讲</x:v>
      </x:c>
      <x:c r="H139" s="31" t="str">
        <x:v>依赖真实项目决策、波形判断或完整调试经验，适合由课程负责人讲清工程取舍。</x:v>
      </x:c>
      <x:c r="I139" s="31" t="str">
        <x:v>方法讲解＋实测数据＋问题复盘</x:v>
      </x:c>
      <x:c r="J139" s="31" t="str">
        <x:v>讲稿、实验步骤、原始数据、处理脚本、结果说明</x:v>
      </x:c>
      <x:c r="K139" s="31" t="str">
        <x:v>核心</x:v>
      </x:c>
      <x:c r="L139" s="31" t="str">
        <x:v>待确认</x:v>
      </x:c>
      <x:c r="M139" s="31" t="str">
        <x:v>参考所属系列前序模块</x:v>
      </x:c>
      <x:c r="N139" s="31" t="str"/>
    </x:row>
    <x:row r="140" ht="42" customHeight="1">
      <x:c r="A140" s="31" t="str">
        <x:v>Z2.07</x:v>
      </x:c>
      <x:c r="B140" s="31" t="str">
        <x:v>Z</x:v>
      </x:c>
      <x:c r="C140" s="31" t="str">
        <x:v>Z2</x:v>
      </x:c>
      <x:c r="D140" s="31" t="str">
        <x:v>信号处理、标定与统一数据接口</x:v>
      </x:c>
      <x:c r="E140" s="31" t="str">
        <x:v>编码器原始值到机械角度、单圈/多圈位置与基础速度处理</x:v>
      </x:c>
      <x:c r="F140" s="31" t="str">
        <x:v>A｜建议你主讲</x:v>
      </x:c>
      <x:c r="G140" s="31" t="str">
        <x:v>你主讲</x:v>
      </x:c>
      <x:c r="H140" s="31" t="str">
        <x:v>依赖真实项目决策、波形判断或完整调试经验，适合由课程负责人讲清工程取舍。</x:v>
      </x:c>
      <x:c r="I140" s="31" t="str">
        <x:v>原理讲解＋工程案例＋检查题</x:v>
      </x:c>
      <x:c r="J140" s="31" t="str">
        <x:v>讲稿、课件、示例、作业与答案</x:v>
      </x:c>
      <x:c r="K140" s="31" t="str">
        <x:v>核心</x:v>
      </x:c>
      <x:c r="L140" s="31" t="str">
        <x:v>待确认</x:v>
      </x:c>
      <x:c r="M140" s="31" t="str">
        <x:v>参考所属系列前序模块</x:v>
      </x:c>
      <x:c r="N140" s="31" t="str"/>
    </x:row>
    <x:row r="141" ht="42" customHeight="1">
      <x:c r="A141" s="31" t="str">
        <x:v>Z2.08</x:v>
      </x:c>
      <x:c r="B141" s="31" t="str">
        <x:v>Z</x:v>
      </x:c>
      <x:c r="C141" s="31" t="str">
        <x:v>Z2</x:v>
      </x:c>
      <x:c r="D141" s="31" t="str">
        <x:v>信号处理、标定与统一数据接口</x:v>
      </x:c>
      <x:c r="E141" s="31" t="str">
        <x:v>Hall 状态、边沿、方向、扇区与基础速度信息处理</x:v>
      </x:c>
      <x:c r="F141" s="31" t="str">
        <x:v>A｜建议你主讲</x:v>
      </x:c>
      <x:c r="G141" s="31" t="str">
        <x:v>你主讲</x:v>
      </x:c>
      <x:c r="H141" s="31" t="str">
        <x:v>依赖真实项目决策、波形判断或完整调试经验，适合由课程负责人讲清工程取舍。</x:v>
      </x:c>
      <x:c r="I141" s="31" t="str">
        <x:v>原理讲解＋工程案例＋检查题</x:v>
      </x:c>
      <x:c r="J141" s="31" t="str">
        <x:v>讲稿、课件、示例、作业与答案</x:v>
      </x:c>
      <x:c r="K141" s="31" t="str">
        <x:v>核心</x:v>
      </x:c>
      <x:c r="L141" s="31" t="str">
        <x:v>待确认</x:v>
      </x:c>
      <x:c r="M141" s="31" t="str">
        <x:v>参考所属系列前序模块</x:v>
      </x:c>
      <x:c r="N141" s="31" t="str"/>
    </x:row>
    <x:row r="142" ht="42" customHeight="1">
      <x:c r="A142" s="31" t="str">
        <x:v>Z2.09</x:v>
      </x:c>
      <x:c r="B142" s="31" t="str">
        <x:v>Z</x:v>
      </x:c>
      <x:c r="C142" s="31" t="str">
        <x:v>Z2</x:v>
      </x:c>
      <x:c r="D142" s="31" t="str">
        <x:v>信号处理、标定与统一数据接口</x:v>
      </x:c>
      <x:c r="E142" s="31" t="str">
        <x:v>采样信号滤波、限幅、异常值、饱和与有效性处理</x:v>
      </x:c>
      <x:c r="F142" s="31" t="str">
        <x:v>A｜建议你主讲</x:v>
      </x:c>
      <x:c r="G142" s="31" t="str">
        <x:v>你主讲</x:v>
      </x:c>
      <x:c r="H142" s="31" t="str">
        <x:v>依赖真实项目决策、波形判断或完整调试经验，适合由课程负责人讲清工程取舍。</x:v>
      </x:c>
      <x:c r="I142" s="31" t="str">
        <x:v>原理讲解＋工程案例＋检查题</x:v>
      </x:c>
      <x:c r="J142" s="31" t="str">
        <x:v>讲稿、课件、示例、作业与答案</x:v>
      </x:c>
      <x:c r="K142" s="31" t="str">
        <x:v>核心</x:v>
      </x:c>
      <x:c r="L142" s="31" t="str">
        <x:v>待确认</x:v>
      </x:c>
      <x:c r="M142" s="31" t="str">
        <x:v>参考所属系列前序模块</x:v>
      </x:c>
      <x:c r="N142" s="31" t="str"/>
    </x:row>
    <x:row r="143" ht="42" customHeight="1">
      <x:c r="A143" s="31" t="str">
        <x:v>Z2.10</x:v>
      </x:c>
      <x:c r="B143" s="31" t="str">
        <x:v>Z</x:v>
      </x:c>
      <x:c r="C143" s="31" t="str">
        <x:v>Z2</x:v>
      </x:c>
      <x:c r="D143" s="31" t="str">
        <x:v>信号处理、标定与统一数据接口</x:v>
      </x:c>
      <x:c r="E143" s="31" t="str">
        <x:v>机械量、电气量、SI 单位、标幺基值与定点范围统一</x:v>
      </x:c>
      <x:c r="F143" s="31" t="str">
        <x:v>A｜建议你主讲</x:v>
      </x:c>
      <x:c r="G143" s="31" t="str">
        <x:v>你主讲</x:v>
      </x:c>
      <x:c r="H143" s="31" t="str">
        <x:v>依赖真实项目决策、波形判断或完整调试经验，适合由课程负责人讲清工程取舍。</x:v>
      </x:c>
      <x:c r="I143" s="31" t="str">
        <x:v>原理讲解＋工程案例＋检查题</x:v>
      </x:c>
      <x:c r="J143" s="31" t="str">
        <x:v>讲稿、课件、示例、作业与答案</x:v>
      </x:c>
      <x:c r="K143" s="31" t="str">
        <x:v>核心</x:v>
      </x:c>
      <x:c r="L143" s="31" t="str">
        <x:v>待确认</x:v>
      </x:c>
      <x:c r="M143" s="31" t="str">
        <x:v>参考所属系列前序模块</x:v>
      </x:c>
      <x:c r="N143" s="31" t="str"/>
    </x:row>
    <x:row r="144" ht="42" customHeight="1">
      <x:c r="A144" s="31" t="str">
        <x:v>Z2.11</x:v>
      </x:c>
      <x:c r="B144" s="31" t="str">
        <x:v>Z</x:v>
      </x:c>
      <x:c r="C144" s="31" t="str">
        <x:v>Z2</x:v>
      </x:c>
      <x:c r="D144" s="31" t="str">
        <x:v>信号处理、标定与统一数据接口</x:v>
      </x:c>
      <x:c r="E144" s="31" t="str">
        <x:v>Feedback、Command、Reference、Output、Config 与 Status 接口建立</x:v>
      </x:c>
      <x:c r="F144" s="31" t="str">
        <x:v>A｜建议你主讲</x:v>
      </x:c>
      <x:c r="G144" s="31" t="str">
        <x:v>你主讲</x:v>
      </x:c>
      <x:c r="H144" s="31" t="str">
        <x:v>依赖真实项目决策、波形判断或完整调试经验，适合由课程负责人讲清工程取舍。</x:v>
      </x:c>
      <x:c r="I144" s="31" t="str">
        <x:v>原理＋代码演示＋最小练习</x:v>
      </x:c>
      <x:c r="J144" s="31" t="str">
        <x:v>讲稿、课件、示例、作业与答案</x:v>
      </x:c>
      <x:c r="K144" s="31" t="str">
        <x:v>核心</x:v>
      </x:c>
      <x:c r="L144" s="31" t="str">
        <x:v>待确认</x:v>
      </x:c>
      <x:c r="M144" s="31" t="str">
        <x:v>参考所属系列前序模块</x:v>
      </x:c>
      <x:c r="N144" s="31" t="str"/>
    </x:row>
    <x:row r="145" ht="42" customHeight="1">
      <x:c r="A145" s="31" t="str">
        <x:v>Z2.12</x:v>
      </x:c>
      <x:c r="B145" s="31" t="str">
        <x:v>Z</x:v>
      </x:c>
      <x:c r="C145" s="31" t="str">
        <x:v>Z2</x:v>
      </x:c>
      <x:c r="D145" s="31" t="str">
        <x:v>信号处理、标定与统一数据接口</x:v>
      </x:c>
      <x:c r="E145" s="31" t="str">
        <x:v>模拟节点、ADC 原始值、物理量与控制量的分层交叉验证</x:v>
      </x:c>
      <x:c r="F145" s="31" t="str">
        <x:v>A｜建议你主讲</x:v>
      </x:c>
      <x:c r="G145" s="31" t="str">
        <x:v>你主讲</x:v>
      </x:c>
      <x:c r="H145" s="31" t="str">
        <x:v>依赖真实项目决策、波形判断或完整调试经验，适合由课程负责人讲清工程取舍。</x:v>
      </x:c>
      <x:c r="I145" s="31" t="str">
        <x:v>原理图/计算＋板级测试</x:v>
      </x:c>
      <x:c r="J145" s="31" t="str">
        <x:v>讲稿、课件、示例、作业与答案</x:v>
      </x:c>
      <x:c r="K145" s="31" t="str">
        <x:v>核心</x:v>
      </x:c>
      <x:c r="L145" s="31" t="str">
        <x:v>待确认</x:v>
      </x:c>
      <x:c r="M145" s="31" t="str">
        <x:v>参考所属系列前序模块</x:v>
      </x:c>
      <x:c r="N145" s="31" t="str"/>
    </x:row>
    <x:row r="146" ht="42" customHeight="1">
      <x:c r="A146" s="31" t="str">
        <x:v>Z3.01</x:v>
      </x:c>
      <x:c r="B146" s="31" t="str">
        <x:v>Z</x:v>
      </x:c>
      <x:c r="C146" s="31" t="str">
        <x:v>Z3</x:v>
      </x:c>
      <x:c r="D146" s="31" t="str">
        <x:v>完整控制程序框架、运行机制与基础功能</x:v>
      </x:c>
      <x:c r="E146" s="31" t="str">
        <x:v>从最终闭环系统图确定模块、数据、状态与调用关系</x:v>
      </x:c>
      <x:c r="F146" s="31" t="str">
        <x:v>A｜建议你主讲</x:v>
      </x:c>
      <x:c r="G146" s="31" t="str">
        <x:v>你主讲</x:v>
      </x:c>
      <x:c r="H146" s="31" t="str">
        <x:v>依赖真实项目决策、波形判断或完整调试经验，适合由课程负责人讲清工程取舍。</x:v>
      </x:c>
      <x:c r="I146" s="31" t="str">
        <x:v>原理讲解＋工程案例＋检查题</x:v>
      </x:c>
      <x:c r="J146" s="31" t="str">
        <x:v>讲稿、课件、示例、作业与答案</x:v>
      </x:c>
      <x:c r="K146" s="31" t="str">
        <x:v>核心</x:v>
      </x:c>
      <x:c r="L146" s="31" t="str">
        <x:v>待确认</x:v>
      </x:c>
      <x:c r="M146" s="31" t="str">
        <x:v>参考所属系列前序模块</x:v>
      </x:c>
      <x:c r="N146" s="31" t="str"/>
    </x:row>
    <x:row r="147" ht="42" customHeight="1">
      <x:c r="A147" s="31" t="str">
        <x:v>Z3.02</x:v>
      </x:c>
      <x:c r="B147" s="31" t="str">
        <x:v>Z</x:v>
      </x:c>
      <x:c r="C147" s="31" t="str">
        <x:v>Z3</x:v>
      </x:c>
      <x:c r="D147" s="31" t="str">
        <x:v>完整控制程序框架、运行机制与基础功能</x:v>
      </x:c>
      <x:c r="E147" s="31" t="str">
        <x:v>Application、Drive、Control、Adapter 与 BSP 分层架构搭建</x:v>
      </x:c>
      <x:c r="F147" s="31" t="str">
        <x:v>A｜建议你主讲</x:v>
      </x:c>
      <x:c r="G147" s="31" t="str">
        <x:v>你主讲</x:v>
      </x:c>
      <x:c r="H147" s="31" t="str">
        <x:v>依赖真实项目决策、波形判断或完整调试经验，适合由课程负责人讲清工程取舍。</x:v>
      </x:c>
      <x:c r="I147" s="31" t="str">
        <x:v>原理＋代码演示＋最小练习</x:v>
      </x:c>
      <x:c r="J147" s="31" t="str">
        <x:v>讲稿、可运行代码、配置说明、最小测试</x:v>
      </x:c>
      <x:c r="K147" s="31" t="str">
        <x:v>核心</x:v>
      </x:c>
      <x:c r="L147" s="31" t="str">
        <x:v>待确认</x:v>
      </x:c>
      <x:c r="M147" s="31" t="str">
        <x:v>参考所属系列前序模块</x:v>
      </x:c>
      <x:c r="N147" s="31" t="str"/>
    </x:row>
    <x:row r="148" ht="42" customHeight="1">
      <x:c r="A148" s="31" t="str">
        <x:v>Z3.03</x:v>
      </x:c>
      <x:c r="B148" s="31" t="str">
        <x:v>Z</x:v>
      </x:c>
      <x:c r="C148" s="31" t="str">
        <x:v>Z3</x:v>
      </x:c>
      <x:c r="D148" s="31" t="str">
        <x:v>完整控制程序框架、运行机制与基础功能</x:v>
      </x:c>
      <x:c r="E148" s="31" t="str">
        <x:v>Config、Context、Input、Output 与 Init/Reset/Step 基本用法统一</x:v>
      </x:c>
      <x:c r="F148" s="31" t="str">
        <x:v>A｜建议你主讲</x:v>
      </x:c>
      <x:c r="G148" s="31" t="str">
        <x:v>你主讲</x:v>
      </x:c>
      <x:c r="H148" s="31" t="str">
        <x:v>依赖真实项目决策、波形判断或完整调试经验，适合由课程负责人讲清工程取舍。</x:v>
      </x:c>
      <x:c r="I148" s="31" t="str">
        <x:v>原理讲解＋工程案例＋检查题</x:v>
      </x:c>
      <x:c r="J148" s="31" t="str">
        <x:v>讲稿、课件、示例、作业与答案</x:v>
      </x:c>
      <x:c r="K148" s="31" t="str">
        <x:v>核心</x:v>
      </x:c>
      <x:c r="L148" s="31" t="str">
        <x:v>待确认</x:v>
      </x:c>
      <x:c r="M148" s="31" t="str">
        <x:v>参考所属系列前序模块</x:v>
      </x:c>
      <x:c r="N148" s="31" t="str"/>
    </x:row>
    <x:row r="149" ht="42" customHeight="1">
      <x:c r="A149" s="31" t="str">
        <x:v>Z3.04</x:v>
      </x:c>
      <x:c r="B149" s="31" t="str">
        <x:v>Z</x:v>
      </x:c>
      <x:c r="C149" s="31" t="str">
        <x:v>Z3</x:v>
      </x:c>
      <x:c r="D149" s="31" t="str">
        <x:v>完整控制程序框架、运行机制与基础功能</x:v>
      </x:c>
      <x:c r="E149" s="31" t="str">
        <x:v>Feedback、Command、Reference、Status 与 PWM 数据结构建立</x:v>
      </x:c>
      <x:c r="F149" s="31" t="str">
        <x:v>A｜建议你主讲</x:v>
      </x:c>
      <x:c r="G149" s="31" t="str">
        <x:v>你主讲</x:v>
      </x:c>
      <x:c r="H149" s="31" t="str">
        <x:v>依赖真实项目决策、波形判断或完整调试经验，适合由课程负责人讲清工程取舍。</x:v>
      </x:c>
      <x:c r="I149" s="31" t="str">
        <x:v>原理讲解＋工程案例＋检查题</x:v>
      </x:c>
      <x:c r="J149" s="31" t="str">
        <x:v>讲稿、课件、示例、作业与答案</x:v>
      </x:c>
      <x:c r="K149" s="31" t="str">
        <x:v>核心</x:v>
      </x:c>
      <x:c r="L149" s="31" t="str">
        <x:v>待确认</x:v>
      </x:c>
      <x:c r="M149" s="31" t="str">
        <x:v>参考所属系列前序模块</x:v>
      </x:c>
      <x:c r="N149" s="31" t="str"/>
    </x:row>
    <x:row r="150" ht="42" customHeight="1">
      <x:c r="A150" s="31" t="str">
        <x:v>Z3.05</x:v>
      </x:c>
      <x:c r="B150" s="31" t="str">
        <x:v>Z</x:v>
      </x:c>
      <x:c r="C150" s="31" t="str">
        <x:v>Z3</x:v>
      </x:c>
      <x:c r="D150" s="31" t="str">
        <x:v>完整控制程序框架、运行机制与基础功能</x:v>
      </x:c>
      <x:c r="E150" s="31" t="str">
        <x:v>Fast Loop、Slow Loop、后台任务与通信任务周期规划</x:v>
      </x:c>
      <x:c r="F150" s="31" t="str">
        <x:v>A｜建议你主讲</x:v>
      </x:c>
      <x:c r="G150" s="31" t="str">
        <x:v>你主讲</x:v>
      </x:c>
      <x:c r="H150" s="31" t="str">
        <x:v>依赖真实项目决策、波形判断或完整调试经验，适合由课程负责人讲清工程取舍。</x:v>
      </x:c>
      <x:c r="I150" s="31" t="str">
        <x:v>原理＋代码演示＋最小练习</x:v>
      </x:c>
      <x:c r="J150" s="31" t="str">
        <x:v>讲稿、可运行代码、配置说明、最小测试</x:v>
      </x:c>
      <x:c r="K150" s="31" t="str">
        <x:v>核心</x:v>
      </x:c>
      <x:c r="L150" s="31" t="str">
        <x:v>待确认</x:v>
      </x:c>
      <x:c r="M150" s="31" t="str">
        <x:v>参考所属系列前序模块</x:v>
      </x:c>
      <x:c r="N150" s="31" t="str"/>
    </x:row>
    <x:row r="151" ht="42" customHeight="1">
      <x:c r="A151" s="31" t="str">
        <x:v>Z3.06</x:v>
      </x:c>
      <x:c r="B151" s="31" t="str">
        <x:v>Z</x:v>
      </x:c>
      <x:c r="C151" s="31" t="str">
        <x:v>Z3</x:v>
      </x:c>
      <x:c r="D151" s="31" t="str">
        <x:v>完整控制程序框架、运行机制与基础功能</x:v>
      </x:c>
      <x:c r="E151" s="31" t="str">
        <x:v>快慢任务数据快照、共享变量、原子性与双缓冲处理</x:v>
      </x:c>
      <x:c r="F151" s="31" t="str">
        <x:v>A｜建议你主讲</x:v>
      </x:c>
      <x:c r="G151" s="31" t="str">
        <x:v>你主讲</x:v>
      </x:c>
      <x:c r="H151" s="31" t="str">
        <x:v>依赖真实项目决策、波形判断或完整调试经验，适合由课程负责人讲清工程取舍。</x:v>
      </x:c>
      <x:c r="I151" s="31" t="str">
        <x:v>原理讲解＋工程案例＋检查题</x:v>
      </x:c>
      <x:c r="J151" s="31" t="str">
        <x:v>讲稿、课件、示例、作业与答案</x:v>
      </x:c>
      <x:c r="K151" s="31" t="str">
        <x:v>核心</x:v>
      </x:c>
      <x:c r="L151" s="31" t="str">
        <x:v>待确认</x:v>
      </x:c>
      <x:c r="M151" s="31" t="str">
        <x:v>参考所属系列前序模块</x:v>
      </x:c>
      <x:c r="N151" s="31" t="str"/>
    </x:row>
    <x:row r="152" ht="42" customHeight="1">
      <x:c r="A152" s="31" t="str">
        <x:v>Z3.07</x:v>
      </x:c>
      <x:c r="B152" s="31" t="str">
        <x:v>Z</x:v>
      </x:c>
      <x:c r="C152" s="31" t="str">
        <x:v>Z3</x:v>
      </x:c>
      <x:c r="D152" s="31" t="str">
        <x:v>完整控制程序框架、运行机制与基础功能</x:v>
      </x:c>
      <x:c r="E152" s="31" t="str">
        <x:v>角度来源、反馈来源、控制器与调制器的统一接口</x:v>
      </x:c>
      <x:c r="F152" s="31" t="str">
        <x:v>A｜建议你主讲</x:v>
      </x:c>
      <x:c r="G152" s="31" t="str">
        <x:v>你主讲</x:v>
      </x:c>
      <x:c r="H152" s="31" t="str">
        <x:v>依赖真实项目决策、波形判断或完整调试经验，适合由课程负责人讲清工程取舍。</x:v>
      </x:c>
      <x:c r="I152" s="31" t="str">
        <x:v>原理＋代码演示＋最小练习</x:v>
      </x:c>
      <x:c r="J152" s="31" t="str">
        <x:v>讲稿、课件、示例、作业与答案</x:v>
      </x:c>
      <x:c r="K152" s="31" t="str">
        <x:v>核心</x:v>
      </x:c>
      <x:c r="L152" s="31" t="str">
        <x:v>待确认</x:v>
      </x:c>
      <x:c r="M152" s="31" t="str">
        <x:v>参考所属系列前序模块</x:v>
      </x:c>
      <x:c r="N152" s="31" t="str"/>
    </x:row>
    <x:row r="153" ht="42" customHeight="1">
      <x:c r="A153" s="31" t="str">
        <x:v>Z3.08</x:v>
      </x:c>
      <x:c r="B153" s="31" t="str">
        <x:v>Z</x:v>
      </x:c>
      <x:c r="C153" s="31" t="str">
        <x:v>Z3</x:v>
      </x:c>
      <x:c r="D153" s="31" t="str">
        <x:v>完整控制程序框架、运行机制与基础功能</x:v>
      </x:c>
      <x:c r="E153" s="31" t="str">
        <x:v>Motor、Inverter、Sensor、Control 与 Protection 参数体系建立</x:v>
      </x:c>
      <x:c r="F153" s="31" t="str">
        <x:v>A｜建议你主讲</x:v>
      </x:c>
      <x:c r="G153" s="31" t="str">
        <x:v>你主讲</x:v>
      </x:c>
      <x:c r="H153" s="31" t="str">
        <x:v>依赖真实项目决策、波形判断或完整调试经验，适合由课程负责人讲清工程取舍。</x:v>
      </x:c>
      <x:c r="I153" s="31" t="str">
        <x:v>原理讲解＋工程案例＋检查题</x:v>
      </x:c>
      <x:c r="J153" s="31" t="str">
        <x:v>讲稿、课件、示例、作业与答案</x:v>
      </x:c>
      <x:c r="K153" s="31" t="str">
        <x:v>核心</x:v>
      </x:c>
      <x:c r="L153" s="31" t="str">
        <x:v>待确认</x:v>
      </x:c>
      <x:c r="M153" s="31" t="str">
        <x:v>参考所属系列前序模块</x:v>
      </x:c>
      <x:c r="N153" s="31" t="str"/>
    </x:row>
    <x:row r="154" ht="42" customHeight="1">
      <x:c r="A154" s="31" t="str">
        <x:v>Z3.09</x:v>
      </x:c>
      <x:c r="B154" s="31" t="str">
        <x:v>Z</x:v>
      </x:c>
      <x:c r="C154" s="31" t="str">
        <x:v>Z3</x:v>
      </x:c>
      <x:c r="D154" s="31" t="str">
        <x:v>完整控制程序框架、运行机制与基础功能</x:v>
      </x:c>
      <x:c r="E154" s="31" t="str">
        <x:v>Reference Manager、斜坡、限幅、方向与模式请求管理</x:v>
      </x:c>
      <x:c r="F154" s="31" t="str">
        <x:v>A｜建议你主讲</x:v>
      </x:c>
      <x:c r="G154" s="31" t="str">
        <x:v>你主讲</x:v>
      </x:c>
      <x:c r="H154" s="31" t="str">
        <x:v>依赖真实项目决策、波形判断或完整调试经验，适合由课程负责人讲清工程取舍。</x:v>
      </x:c>
      <x:c r="I154" s="31" t="str">
        <x:v>原理讲解＋工程案例＋检查题</x:v>
      </x:c>
      <x:c r="J154" s="31" t="str">
        <x:v>讲稿、课件、示例、作业与答案</x:v>
      </x:c>
      <x:c r="K154" s="31" t="str">
        <x:v>核心</x:v>
      </x:c>
      <x:c r="L154" s="31" t="str">
        <x:v>待确认</x:v>
      </x:c>
      <x:c r="M154" s="31" t="str">
        <x:v>参考所属系列前序模块</x:v>
      </x:c>
      <x:c r="N154" s="31" t="str"/>
    </x:row>
    <x:row r="155" ht="42" customHeight="1">
      <x:c r="A155" s="31" t="str">
        <x:v>Z3.10</x:v>
      </x:c>
      <x:c r="B155" s="31" t="str">
        <x:v>Z</x:v>
      </x:c>
      <x:c r="C155" s="31" t="str">
        <x:v>Z3</x:v>
      </x:c>
      <x:c r="D155" s="31" t="str">
        <x:v>完整控制程序框架、运行机制与基础功能</x:v>
      </x:c>
      <x:c r="E155" s="31" t="str">
        <x:v>初始化、校准、待机、运行、停止与故障基础状态流程搭建</x:v>
      </x:c>
      <x:c r="F155" s="31" t="str">
        <x:v>A｜建议你主讲</x:v>
      </x:c>
      <x:c r="G155" s="31" t="str">
        <x:v>你主讲</x:v>
      </x:c>
      <x:c r="H155" s="31" t="str">
        <x:v>依赖真实项目决策、波形判断或完整调试经验，适合由课程负责人讲清工程取舍。</x:v>
      </x:c>
      <x:c r="I155" s="31" t="str">
        <x:v>方法讲解＋实测数据＋问题复盘</x:v>
      </x:c>
      <x:c r="J155" s="31" t="str">
        <x:v>讲稿、课件、示例、作业与答案</x:v>
      </x:c>
      <x:c r="K155" s="31" t="str">
        <x:v>核心</x:v>
      </x:c>
      <x:c r="L155" s="31" t="str">
        <x:v>待确认</x:v>
      </x:c>
      <x:c r="M155" s="31" t="str">
        <x:v>参考所属系列前序模块</x:v>
      </x:c>
      <x:c r="N155" s="31" t="str"/>
    </x:row>
    <x:row r="156" ht="42" customHeight="1">
      <x:c r="A156" s="31" t="str">
        <x:v>Z3.11</x:v>
      </x:c>
      <x:c r="B156" s="31" t="str">
        <x:v>Z</x:v>
      </x:c>
      <x:c r="C156" s="31" t="str">
        <x:v>Z3</x:v>
      </x:c>
      <x:c r="D156" s="31" t="str">
        <x:v>完整控制程序框架、运行机制与基础功能</x:v>
      </x:c>
      <x:c r="E156" s="31" t="str">
        <x:v>功率许可、过流、过压、欠压、超温与通信超时基础保护接入</x:v>
      </x:c>
      <x:c r="F156" s="31" t="str">
        <x:v>A｜建议你主讲</x:v>
      </x:c>
      <x:c r="G156" s="31" t="str">
        <x:v>你主讲</x:v>
      </x:c>
      <x:c r="H156" s="31" t="str">
        <x:v>依赖真实项目决策、波形判断或完整调试经验，适合由课程负责人讲清工程取舍。</x:v>
      </x:c>
      <x:c r="I156" s="31" t="str">
        <x:v>方法讲解＋实测数据＋问题复盘</x:v>
      </x:c>
      <x:c r="J156" s="31" t="str">
        <x:v>讲稿、可运行代码、配置说明、最小测试</x:v>
      </x:c>
      <x:c r="K156" s="31" t="str">
        <x:v>核心</x:v>
      </x:c>
      <x:c r="L156" s="31" t="str">
        <x:v>待确认</x:v>
      </x:c>
      <x:c r="M156" s="31" t="str">
        <x:v>参考所属系列前序模块</x:v>
      </x:c>
      <x:c r="N156" s="31" t="str"/>
    </x:row>
    <x:row r="157" ht="42" customHeight="1">
      <x:c r="A157" s="31" t="str">
        <x:v>Z3.12</x:v>
      </x:c>
      <x:c r="B157" s="31" t="str">
        <x:v>Z</x:v>
      </x:c>
      <x:c r="C157" s="31" t="str">
        <x:v>Z3</x:v>
      </x:c>
      <x:c r="D157" s="31" t="str">
        <x:v>完整控制程序框架、运行机制与基础功能</x:v>
      </x:c>
      <x:c r="E157" s="31" t="str">
        <x:v>运行状态、故障来源、关键控制数据与 Debug GPIO 诊断接口建立</x:v>
      </x:c>
      <x:c r="F157" s="31" t="str">
        <x:v>A｜建议你主讲</x:v>
      </x:c>
      <x:c r="G157" s="31" t="str">
        <x:v>你主讲</x:v>
      </x:c>
      <x:c r="H157" s="31" t="str">
        <x:v>依赖真实项目决策、波形判断或完整调试经验，适合由课程负责人讲清工程取舍。</x:v>
      </x:c>
      <x:c r="I157" s="31" t="str">
        <x:v>方法讲解＋实测数据＋问题复盘</x:v>
      </x:c>
      <x:c r="J157" s="31" t="str">
        <x:v>讲稿、课件、示例、作业与答案</x:v>
      </x:c>
      <x:c r="K157" s="31" t="str">
        <x:v>核心</x:v>
      </x:c>
      <x:c r="L157" s="31" t="str">
        <x:v>待确认</x:v>
      </x:c>
      <x:c r="M157" s="31" t="str">
        <x:v>参考所属系列前序模块</x:v>
      </x:c>
      <x:c r="N157" s="31" t="str"/>
    </x:row>
    <x:row r="158" ht="42" customHeight="1">
      <x:c r="A158" s="31" t="str">
        <x:v>Z3.13</x:v>
      </x:c>
      <x:c r="B158" s="31" t="str">
        <x:v>Z</x:v>
      </x:c>
      <x:c r="C158" s="31" t="str">
        <x:v>Z3</x:v>
      </x:c>
      <x:c r="D158" s="31" t="str">
        <x:v>完整控制程序框架、运行机制与基础功能</x:v>
      </x:c>
      <x:c r="E158" s="31" t="str">
        <x:v>跑通命令输入、状态处理、安全输出、PWM 与诊断流程</x:v>
      </x:c>
      <x:c r="F158" s="31" t="str">
        <x:v>A｜建议你主讲</x:v>
      </x:c>
      <x:c r="G158" s="31" t="str">
        <x:v>你主讲</x:v>
      </x:c>
      <x:c r="H158" s="31" t="str">
        <x:v>依赖真实项目决策、波形判断或完整调试经验，适合由课程负责人讲清工程取舍。</x:v>
      </x:c>
      <x:c r="I158" s="31" t="str">
        <x:v>原理讲解＋工程案例＋检查题</x:v>
      </x:c>
      <x:c r="J158" s="31" t="str">
        <x:v>讲稿、课件、示例、作业与答案</x:v>
      </x:c>
      <x:c r="K158" s="31" t="str">
        <x:v>核心</x:v>
      </x:c>
      <x:c r="L158" s="31" t="str">
        <x:v>待确认</x:v>
      </x:c>
      <x:c r="M158" s="31" t="str">
        <x:v>参考所属系列前序模块</x:v>
      </x:c>
      <x:c r="N158" s="31" t="str"/>
    </x:row>
    <x:row r="159" ht="42" customHeight="1">
      <x:c r="A159" s="31" t="str">
        <x:v>Z3.14</x:v>
      </x:c>
      <x:c r="B159" s="31" t="str">
        <x:v>Z</x:v>
      </x:c>
      <x:c r="C159" s="31" t="str">
        <x:v>Z3</x:v>
      </x:c>
      <x:c r="D159" s="31" t="str">
        <x:v>完整控制程序框架、运行机制与基础功能</x:v>
      </x:c>
      <x:c r="E159" s="31" t="str">
        <x:v>模拟反馈、故障注入、周期测量与程序框架验收</x:v>
      </x:c>
      <x:c r="F159" s="31" t="str">
        <x:v>A｜建议你主讲</x:v>
      </x:c>
      <x:c r="G159" s="31" t="str">
        <x:v>你主讲</x:v>
      </x:c>
      <x:c r="H159" s="31" t="str">
        <x:v>依赖真实项目决策、波形判断或完整调试经验，适合由课程负责人讲清工程取舍。</x:v>
      </x:c>
      <x:c r="I159" s="31" t="str">
        <x:v>方法讲解＋实测数据＋问题复盘</x:v>
      </x:c>
      <x:c r="J159" s="31" t="str">
        <x:v>讲稿、可运行代码、配置说明、最小测试</x:v>
      </x:c>
      <x:c r="K159" s="31" t="str">
        <x:v>核心</x:v>
      </x:c>
      <x:c r="L159" s="31" t="str">
        <x:v>待确认</x:v>
      </x:c>
      <x:c r="M159" s="31" t="str">
        <x:v>参考所属系列前序模块</x:v>
      </x:c>
      <x:c r="N159" s="31" t="str"/>
    </x:row>
    <x:row r="160" ht="42" customHeight="1">
      <x:c r="A160" s="31" t="str">
        <x:v>Z4.01</x:v>
      </x:c>
      <x:c r="B160" s="31" t="str">
        <x:v>Z</x:v>
      </x:c>
      <x:c r="C160" s="31" t="str">
        <x:v>Z4</x:v>
      </x:c>
      <x:c r="D160" s="31" t="str">
        <x:v>FOC 核心算法、开环控制与电流闭环</x:v>
      </x:c>
      <x:c r="E160" s="31" t="str">
        <x:v>PMSM abc、αβ、dq 模型与 FOC 控制变量关系建立</x:v>
      </x:c>
      <x:c r="F160" s="31" t="str">
        <x:v>A｜建议你主讲</x:v>
      </x:c>
      <x:c r="G160" s="31" t="str">
        <x:v>你主讲</x:v>
      </x:c>
      <x:c r="H160" s="31" t="str">
        <x:v>依赖真实项目决策、波形判断或完整调试经验，适合由课程负责人讲清工程取舍。</x:v>
      </x:c>
      <x:c r="I160" s="31" t="str">
        <x:v>原理＋模型＋对比验证</x:v>
      </x:c>
      <x:c r="J160" s="31" t="str">
        <x:v>讲稿、模型、参数说明、对比结果</x:v>
      </x:c>
      <x:c r="K160" s="31" t="str">
        <x:v>核心</x:v>
      </x:c>
      <x:c r="L160" s="31" t="str">
        <x:v>待确认</x:v>
      </x:c>
      <x:c r="M160" s="31" t="str">
        <x:v>参考所属系列前序模块</x:v>
      </x:c>
      <x:c r="N160" s="31" t="str"/>
    </x:row>
    <x:row r="161" ht="42" customHeight="1">
      <x:c r="A161" s="31" t="str">
        <x:v>Z4.02</x:v>
      </x:c>
      <x:c r="B161" s="31" t="str">
        <x:v>Z</x:v>
      </x:c>
      <x:c r="C161" s="31" t="str">
        <x:v>Z4</x:v>
      </x:c>
      <x:c r="D161" s="31" t="str">
        <x:v>FOC 核心算法、开环控制与电流闭环</x:v>
      </x:c>
      <x:c r="E161" s="31" t="str">
        <x:v>机械角、电角度、极对数、相序与正方向统一</x:v>
      </x:c>
      <x:c r="F161" s="31" t="str">
        <x:v>A｜建议你主讲</x:v>
      </x:c>
      <x:c r="G161" s="31" t="str">
        <x:v>你主讲</x:v>
      </x:c>
      <x:c r="H161" s="31" t="str">
        <x:v>依赖真实项目决策、波形判断或完整调试经验，适合由课程负责人讲清工程取舍。</x:v>
      </x:c>
      <x:c r="I161" s="31" t="str">
        <x:v>原理讲解＋工程案例＋检查题</x:v>
      </x:c>
      <x:c r="J161" s="31" t="str">
        <x:v>讲稿、课件、示例、作业与答案</x:v>
      </x:c>
      <x:c r="K161" s="31" t="str">
        <x:v>核心</x:v>
      </x:c>
      <x:c r="L161" s="31" t="str">
        <x:v>待确认</x:v>
      </x:c>
      <x:c r="M161" s="31" t="str">
        <x:v>参考所属系列前序模块</x:v>
      </x:c>
      <x:c r="N161" s="31" t="str"/>
    </x:row>
    <x:row r="162" ht="42" customHeight="1">
      <x:c r="A162" s="31" t="str">
        <x:v>Z4.03</x:v>
      </x:c>
      <x:c r="B162" s="31" t="str">
        <x:v>Z</x:v>
      </x:c>
      <x:c r="C162" s="31" t="str">
        <x:v>Z4</x:v>
      </x:c>
      <x:c r="D162" s="31" t="str">
        <x:v>FOC 核心算法、开环控制与电流闭环</x:v>
      </x:c>
      <x:c r="E162" s="31" t="str">
        <x:v>Clarke、Park、反 Park 变换实现与 Golden Vector 数值验证</x:v>
      </x:c>
      <x:c r="F162" s="31" t="str">
        <x:v>A｜建议你主讲</x:v>
      </x:c>
      <x:c r="G162" s="31" t="str">
        <x:v>你主讲</x:v>
      </x:c>
      <x:c r="H162" s="31" t="str">
        <x:v>依赖真实项目决策、波形判断或完整调试经验，适合由课程负责人讲清工程取舍。</x:v>
      </x:c>
      <x:c r="I162" s="31" t="str">
        <x:v>原理讲解＋工程案例＋检查题</x:v>
      </x:c>
      <x:c r="J162" s="31" t="str">
        <x:v>讲稿、课件、示例、作业与答案</x:v>
      </x:c>
      <x:c r="K162" s="31" t="str">
        <x:v>核心</x:v>
      </x:c>
      <x:c r="L162" s="31" t="str">
        <x:v>待确认</x:v>
      </x:c>
      <x:c r="M162" s="31" t="str">
        <x:v>参考所属系列前序模块</x:v>
      </x:c>
      <x:c r="N162" s="31" t="str"/>
    </x:row>
    <x:row r="163" ht="42" customHeight="1">
      <x:c r="A163" s="31" t="str">
        <x:v>Z4.04</x:v>
      </x:c>
      <x:c r="B163" s="31" t="str">
        <x:v>Z</x:v>
      </x:c>
      <x:c r="C163" s="31" t="str">
        <x:v>Z4</x:v>
      </x:c>
      <x:c r="D163" s="31" t="str">
        <x:v>FOC 核心算法、开环控制与电流闭环</x:v>
      </x:c>
      <x:c r="E163" s="31" t="str">
        <x:v>SPWM、标准七段式 SVPWM 与六步换相的作用位置对比</x:v>
      </x:c>
      <x:c r="F163" s="31" t="str">
        <x:v>A｜建议你主讲</x:v>
      </x:c>
      <x:c r="G163" s="31" t="str">
        <x:v>你主讲</x:v>
      </x:c>
      <x:c r="H163" s="31" t="str">
        <x:v>依赖真实项目决策、波形判断或完整调试经验，适合由课程负责人讲清工程取舍。</x:v>
      </x:c>
      <x:c r="I163" s="31" t="str">
        <x:v>原理讲解＋工程案例＋检查题</x:v>
      </x:c>
      <x:c r="J163" s="31" t="str">
        <x:v>讲稿、课件、示例、作业与答案</x:v>
      </x:c>
      <x:c r="K163" s="31" t="str">
        <x:v>核心</x:v>
      </x:c>
      <x:c r="L163" s="31" t="str">
        <x:v>待确认</x:v>
      </x:c>
      <x:c r="M163" s="31" t="str">
        <x:v>参考所属系列前序模块</x:v>
      </x:c>
      <x:c r="N163" s="31" t="str"/>
    </x:row>
    <x:row r="164" ht="42" customHeight="1">
      <x:c r="A164" s="31" t="str">
        <x:v>Z4.05</x:v>
      </x:c>
      <x:c r="B164" s="31" t="str">
        <x:v>Z</x:v>
      </x:c>
      <x:c r="C164" s="31" t="str">
        <x:v>Z4</x:v>
      </x:c>
      <x:c r="D164" s="31" t="str">
        <x:v>FOC 核心算法、开环控制与电流闭环</x:v>
      </x:c>
      <x:c r="E164" s="31" t="str">
        <x:v>有效矢量、零矢量、扇区、T1/T2/T0 与作用顺序推导</x:v>
      </x:c>
      <x:c r="F164" s="31" t="str">
        <x:v>A｜建议你主讲</x:v>
      </x:c>
      <x:c r="G164" s="31" t="str">
        <x:v>你主讲</x:v>
      </x:c>
      <x:c r="H164" s="31" t="str">
        <x:v>依赖真实项目决策、波形判断或完整调试经验，适合由课程负责人讲清工程取舍。</x:v>
      </x:c>
      <x:c r="I164" s="31" t="str">
        <x:v>原理讲解＋工程案例＋检查题</x:v>
      </x:c>
      <x:c r="J164" s="31" t="str">
        <x:v>讲稿、课件、示例、作业与答案</x:v>
      </x:c>
      <x:c r="K164" s="31" t="str">
        <x:v>核心</x:v>
      </x:c>
      <x:c r="L164" s="31" t="str">
        <x:v>待确认</x:v>
      </x:c>
      <x:c r="M164" s="31" t="str">
        <x:v>参考所属系列前序模块</x:v>
      </x:c>
      <x:c r="N164" s="31" t="str"/>
    </x:row>
    <x:row r="165" ht="42" customHeight="1">
      <x:c r="A165" s="31" t="str">
        <x:v>Z4.06</x:v>
      </x:c>
      <x:c r="B165" s="31" t="str">
        <x:v>Z</x:v>
      </x:c>
      <x:c r="C165" s="31" t="str">
        <x:v>Z4</x:v>
      </x:c>
      <x:c r="D165" s="31" t="str">
        <x:v>FOC 核心算法、开环控制与电流闭环</x:v>
      </x:c>
      <x:c r="E165" s="31" t="str">
        <x:v>从 Uα/Uβ 到三相 Duty、定时器 CCR、限幅与最小脉宽</x:v>
      </x:c>
      <x:c r="F165" s="31" t="str">
        <x:v>A｜建议你主讲</x:v>
      </x:c>
      <x:c r="G165" s="31" t="str">
        <x:v>你主讲</x:v>
      </x:c>
      <x:c r="H165" s="31" t="str">
        <x:v>依赖真实项目决策、波形判断或完整调试经验，适合由课程负责人讲清工程取舍。</x:v>
      </x:c>
      <x:c r="I165" s="31" t="str">
        <x:v>原理讲解＋工程案例＋检查题</x:v>
      </x:c>
      <x:c r="J165" s="31" t="str">
        <x:v>讲稿、课件、示例、作业与答案</x:v>
      </x:c>
      <x:c r="K165" s="31" t="str">
        <x:v>核心</x:v>
      </x:c>
      <x:c r="L165" s="31" t="str">
        <x:v>待确认</x:v>
      </x:c>
      <x:c r="M165" s="31" t="str">
        <x:v>参考所属系列前序模块</x:v>
      </x:c>
      <x:c r="N165" s="31" t="str"/>
    </x:row>
    <x:row r="166" ht="42" customHeight="1">
      <x:c r="A166" s="31" t="str">
        <x:v>Z4.07</x:v>
      </x:c>
      <x:c r="B166" s="31" t="str">
        <x:v>Z</x:v>
      </x:c>
      <x:c r="C166" s="31" t="str">
        <x:v>Z4</x:v>
      </x:c>
      <x:c r="D166" s="31" t="str">
        <x:v>FOC 核心算法、开环控制与电流闭环</x:v>
      </x:c>
      <x:c r="E166" s="31" t="str">
        <x:v>固定电压矢量、门极波形、桥臂映射、相序与电流方向验证</x:v>
      </x:c>
      <x:c r="F166" s="31" t="str">
        <x:v>A｜建议你主讲</x:v>
      </x:c>
      <x:c r="G166" s="31" t="str">
        <x:v>你主讲</x:v>
      </x:c>
      <x:c r="H166" s="31" t="str">
        <x:v>依赖真实项目决策、波形判断或完整调试经验，适合由课程负责人讲清工程取舍。</x:v>
      </x:c>
      <x:c r="I166" s="31" t="str">
        <x:v>方法讲解＋实测数据＋问题复盘</x:v>
      </x:c>
      <x:c r="J166" s="31" t="str">
        <x:v>讲稿、课件、示例、作业与答案</x:v>
      </x:c>
      <x:c r="K166" s="31" t="str">
        <x:v>核心</x:v>
      </x:c>
      <x:c r="L166" s="31" t="str">
        <x:v>待确认</x:v>
      </x:c>
      <x:c r="M166" s="31" t="str">
        <x:v>参考所属系列前序模块</x:v>
      </x:c>
      <x:c r="N166" s="31" t="str"/>
    </x:row>
    <x:row r="167" ht="42" customHeight="1">
      <x:c r="A167" s="31" t="str">
        <x:v>Z4.08</x:v>
      </x:c>
      <x:c r="B167" s="31" t="str">
        <x:v>Z</x:v>
      </x:c>
      <x:c r="C167" s="31" t="str">
        <x:v>Z4</x:v>
      </x:c>
      <x:c r="D167" s="31" t="str">
        <x:v>FOC 核心算法、开环控制与电流闭环</x:v>
      </x:c>
      <x:c r="E167" s="31" t="str">
        <x:v>开环电角度、频率斜坡、基础 V/F 与低压正反转实现</x:v>
      </x:c>
      <x:c r="F167" s="31" t="str">
        <x:v>A｜建议你主讲</x:v>
      </x:c>
      <x:c r="G167" s="31" t="str">
        <x:v>你主讲</x:v>
      </x:c>
      <x:c r="H167" s="31" t="str">
        <x:v>依赖真实项目决策、波形判断或完整调试经验，适合由课程负责人讲清工程取舍。</x:v>
      </x:c>
      <x:c r="I167" s="31" t="str">
        <x:v>原理讲解＋工程案例＋检查题</x:v>
      </x:c>
      <x:c r="J167" s="31" t="str">
        <x:v>讲稿、课件、示例、作业与答案</x:v>
      </x:c>
      <x:c r="K167" s="31" t="str">
        <x:v>核心</x:v>
      </x:c>
      <x:c r="L167" s="31" t="str">
        <x:v>待确认</x:v>
      </x:c>
      <x:c r="M167" s="31" t="str">
        <x:v>参考所属系列前序模块</x:v>
      </x:c>
      <x:c r="N167" s="31" t="str"/>
    </x:row>
    <x:row r="168" ht="42" customHeight="1">
      <x:c r="A168" s="31" t="str">
        <x:v>Z4.09</x:v>
      </x:c>
      <x:c r="B168" s="31" t="str">
        <x:v>Z</x:v>
      </x:c>
      <x:c r="C168" s="31" t="str">
        <x:v>Z4</x:v>
      </x:c>
      <x:c r="D168" s="31" t="str">
        <x:v>FOC 核心算法、开环控制与电流闭环</x:v>
      </x:c>
      <x:c r="E168" s="31" t="str">
        <x:v>Alignment、转子零位、启动方向与开环运行边界测试</x:v>
      </x:c>
      <x:c r="F168" s="31" t="str">
        <x:v>A｜建议你主讲</x:v>
      </x:c>
      <x:c r="G168" s="31" t="str">
        <x:v>你主讲</x:v>
      </x:c>
      <x:c r="H168" s="31" t="str">
        <x:v>依赖真实项目决策、波形判断或完整调试经验，适合由课程负责人讲清工程取舍。</x:v>
      </x:c>
      <x:c r="I168" s="31" t="str">
        <x:v>方法讲解＋实测数据＋问题复盘</x:v>
      </x:c>
      <x:c r="J168" s="31" t="str">
        <x:v>讲稿、实验步骤、原始数据、处理脚本、结果说明</x:v>
      </x:c>
      <x:c r="K168" s="31" t="str">
        <x:v>核心</x:v>
      </x:c>
      <x:c r="L168" s="31" t="str">
        <x:v>待确认</x:v>
      </x:c>
      <x:c r="M168" s="31" t="str">
        <x:v>参考所属系列前序模块</x:v>
      </x:c>
      <x:c r="N168" s="31" t="str"/>
    </x:row>
    <x:row r="169" ht="42" customHeight="1">
      <x:c r="A169" s="31" t="str">
        <x:v>Z4.10</x:v>
      </x:c>
      <x:c r="B169" s="31" t="str">
        <x:v>Z</x:v>
      </x:c>
      <x:c r="C169" s="31" t="str">
        <x:v>Z4</x:v>
      </x:c>
      <x:c r="D169" s="31" t="str">
        <x:v>FOC 核心算法、开环控制与电流闭环</x:v>
      </x:c>
      <x:c r="E169" s="31" t="str">
        <x:v>三相电流经过 Clarke/Park 得到 Id/Iq 的反馈处理</x:v>
      </x:c>
      <x:c r="F169" s="31" t="str">
        <x:v>A｜建议你主讲</x:v>
      </x:c>
      <x:c r="G169" s="31" t="str">
        <x:v>你主讲</x:v>
      </x:c>
      <x:c r="H169" s="31" t="str">
        <x:v>依赖真实项目决策、波形判断或完整调试经验，适合由课程负责人讲清工程取舍。</x:v>
      </x:c>
      <x:c r="I169" s="31" t="str">
        <x:v>原理讲解＋工程案例＋检查题</x:v>
      </x:c>
      <x:c r="J169" s="31" t="str">
        <x:v>讲稿、课件、示例、作业与答案</x:v>
      </x:c>
      <x:c r="K169" s="31" t="str">
        <x:v>核心</x:v>
      </x:c>
      <x:c r="L169" s="31" t="str">
        <x:v>待确认</x:v>
      </x:c>
      <x:c r="M169" s="31" t="str">
        <x:v>参考所属系列前序模块</x:v>
      </x:c>
      <x:c r="N169" s="31" t="str"/>
    </x:row>
    <x:row r="170" ht="42" customHeight="1">
      <x:c r="A170" s="31" t="str">
        <x:v>Z4.11</x:v>
      </x:c>
      <x:c r="B170" s="31" t="str">
        <x:v>Z</x:v>
      </x:c>
      <x:c r="C170" s="31" t="str">
        <x:v>Z4</x:v>
      </x:c>
      <x:c r="D170" s="31" t="str">
        <x:v>FOC 核心算法、开环控制与电流闭环</x:v>
      </x:c>
      <x:c r="E170" s="31" t="str">
        <x:v>电流对象、PWM/ADC 时序与一拍数字延迟分析</x:v>
      </x:c>
      <x:c r="F170" s="31" t="str">
        <x:v>A｜建议你主讲</x:v>
      </x:c>
      <x:c r="G170" s="31" t="str">
        <x:v>你主讲</x:v>
      </x:c>
      <x:c r="H170" s="31" t="str">
        <x:v>依赖真实项目决策、波形判断或完整调试经验，适合由课程负责人讲清工程取舍。</x:v>
      </x:c>
      <x:c r="I170" s="31" t="str">
        <x:v>原理图/计算＋板级测试</x:v>
      </x:c>
      <x:c r="J170" s="31" t="str">
        <x:v>讲稿、课件、示例、作业与答案</x:v>
      </x:c>
      <x:c r="K170" s="31" t="str">
        <x:v>核心</x:v>
      </x:c>
      <x:c r="L170" s="31" t="str">
        <x:v>待确认</x:v>
      </x:c>
      <x:c r="M170" s="31" t="str">
        <x:v>参考所属系列前序模块</x:v>
      </x:c>
      <x:c r="N170" s="31" t="str"/>
    </x:row>
    <x:row r="171" ht="42" customHeight="1">
      <x:c r="A171" s="31" t="str">
        <x:v>Z4.12</x:v>
      </x:c>
      <x:c r="B171" s="31" t="str">
        <x:v>Z</x:v>
      </x:c>
      <x:c r="C171" s="31" t="str">
        <x:v>Z4</x:v>
      </x:c>
      <x:c r="D171" s="31" t="str">
        <x:v>FOC 核心算法、开环控制与电流闭环</x:v>
      </x:c>
      <x:c r="E171" s="31" t="str">
        <x:v>根据 Rs、Ld/Lq 与目标带宽设计 dq 电流 PI 并离散实现</x:v>
      </x:c>
      <x:c r="F171" s="31" t="str">
        <x:v>A｜建议你主讲</x:v>
      </x:c>
      <x:c r="G171" s="31" t="str">
        <x:v>你主讲</x:v>
      </x:c>
      <x:c r="H171" s="31" t="str">
        <x:v>依赖真实项目决策、波形判断或完整调试经验，适合由课程负责人讲清工程取舍。</x:v>
      </x:c>
      <x:c r="I171" s="31" t="str">
        <x:v>原理讲解＋工程案例＋检查题</x:v>
      </x:c>
      <x:c r="J171" s="31" t="str">
        <x:v>讲稿、课件、示例、作业与答案</x:v>
      </x:c>
      <x:c r="K171" s="31" t="str">
        <x:v>核心</x:v>
      </x:c>
      <x:c r="L171" s="31" t="str">
        <x:v>待确认</x:v>
      </x:c>
      <x:c r="M171" s="31" t="str">
        <x:v>参考所属系列前序模块</x:v>
      </x:c>
      <x:c r="N171" s="31" t="str"/>
    </x:row>
    <x:row r="172" ht="42" customHeight="1">
      <x:c r="A172" s="31" t="str">
        <x:v>Z4.13</x:v>
      </x:c>
      <x:c r="B172" s="31" t="str">
        <x:v>Z</x:v>
      </x:c>
      <x:c r="C172" s="31" t="str">
        <x:v>Z4</x:v>
      </x:c>
      <x:c r="D172" s="31" t="str">
        <x:v>FOC 核心算法、开环控制与电流闭环</x:v>
      </x:c>
      <x:c r="E172" s="31" t="str">
        <x:v>电流/电压矢量限幅、积分限幅、Anti-windup 与饱和处理</x:v>
      </x:c>
      <x:c r="F172" s="31" t="str">
        <x:v>A｜建议你主讲</x:v>
      </x:c>
      <x:c r="G172" s="31" t="str">
        <x:v>你主讲</x:v>
      </x:c>
      <x:c r="H172" s="31" t="str">
        <x:v>依赖真实项目决策、波形判断或完整调试经验，适合由课程负责人讲清工程取舍。</x:v>
      </x:c>
      <x:c r="I172" s="31" t="str">
        <x:v>原理讲解＋工程案例＋检查题</x:v>
      </x:c>
      <x:c r="J172" s="31" t="str">
        <x:v>讲稿、课件、示例、作业与答案</x:v>
      </x:c>
      <x:c r="K172" s="31" t="str">
        <x:v>核心</x:v>
      </x:c>
      <x:c r="L172" s="31" t="str">
        <x:v>待确认</x:v>
      </x:c>
      <x:c r="M172" s="31" t="str">
        <x:v>参考所属系列前序模块</x:v>
      </x:c>
      <x:c r="N172" s="31" t="str"/>
    </x:row>
    <x:row r="173" ht="42" customHeight="1">
      <x:c r="A173" s="31" t="str">
        <x:v>Z4.14</x:v>
      </x:c>
      <x:c r="B173" s="31" t="str">
        <x:v>Z</x:v>
      </x:c>
      <x:c r="C173" s="31" t="str">
        <x:v>Z4</x:v>
      </x:c>
      <x:c r="D173" s="31" t="str">
        <x:v>FOC 核心算法、开环控制与电流闭环</x:v>
      </x:c>
      <x:c r="E173" s="31" t="str">
        <x:v>基础 dq 解耦、反电动势前馈与中高速跟踪改善</x:v>
      </x:c>
      <x:c r="F173" s="31" t="str">
        <x:v>A｜建议你主讲</x:v>
      </x:c>
      <x:c r="G173" s="31" t="str">
        <x:v>你主讲</x:v>
      </x:c>
      <x:c r="H173" s="31" t="str">
        <x:v>依赖真实项目决策、波形判断或完整调试经验，适合由课程负责人讲清工程取舍。</x:v>
      </x:c>
      <x:c r="I173" s="31" t="str">
        <x:v>原理讲解＋工程案例＋检查题</x:v>
      </x:c>
      <x:c r="J173" s="31" t="str">
        <x:v>讲稿、课件、示例、作业与答案</x:v>
      </x:c>
      <x:c r="K173" s="31" t="str">
        <x:v>核心</x:v>
      </x:c>
      <x:c r="L173" s="31" t="str">
        <x:v>待确认</x:v>
      </x:c>
      <x:c r="M173" s="31" t="str">
        <x:v>参考所属系列前序模块</x:v>
      </x:c>
      <x:c r="N173" s="31" t="str"/>
    </x:row>
    <x:row r="174" ht="42" customHeight="1">
      <x:c r="A174" s="31" t="str">
        <x:v>Z4.15</x:v>
      </x:c>
      <x:c r="B174" s="31" t="str">
        <x:v>Z</x:v>
      </x:c>
      <x:c r="C174" s="31" t="str">
        <x:v>Z4</x:v>
      </x:c>
      <x:c r="D174" s="31" t="str">
        <x:v>FOC 核心算法、开环控制与电流闭环</x:v>
      </x:c>
      <x:c r="E174" s="31" t="str">
        <x:v>Id/Iq 正负阶跃、轴间耦合、饱和与实机稳定性测试</x:v>
      </x:c>
      <x:c r="F174" s="31" t="str">
        <x:v>A｜建议你主讲</x:v>
      </x:c>
      <x:c r="G174" s="31" t="str">
        <x:v>你主讲</x:v>
      </x:c>
      <x:c r="H174" s="31" t="str">
        <x:v>依赖真实项目决策、波形判断或完整调试经验，适合由课程负责人讲清工程取舍。</x:v>
      </x:c>
      <x:c r="I174" s="31" t="str">
        <x:v>方法讲解＋实测数据＋问题复盘</x:v>
      </x:c>
      <x:c r="J174" s="31" t="str">
        <x:v>讲稿、实验步骤、原始数据、处理脚本、结果说明</x:v>
      </x:c>
      <x:c r="K174" s="31" t="str">
        <x:v>核心</x:v>
      </x:c>
      <x:c r="L174" s="31" t="str">
        <x:v>待确认</x:v>
      </x:c>
      <x:c r="M174" s="31" t="str">
        <x:v>参考所属系列前序模块</x:v>
      </x:c>
      <x:c r="N174" s="31" t="str"/>
    </x:row>
    <x:row r="175" ht="42" customHeight="1">
      <x:c r="A175" s="31" t="str">
        <x:v>Z4.16</x:v>
      </x:c>
      <x:c r="B175" s="31" t="str">
        <x:v>Z</x:v>
      </x:c>
      <x:c r="C175" s="31" t="str">
        <x:v>Z4</x:v>
      </x:c>
      <x:c r="D175" s="31" t="str">
        <x:v>FOC 核心算法、开环控制与电流闭环</x:v>
      </x:c>
      <x:c r="E175" s="31" t="str">
        <x:v>转矩指令到 Iq 参考、限流约束与基础 Torque Mode 建立</x:v>
      </x:c>
      <x:c r="F175" s="31" t="str">
        <x:v>A｜建议你主讲</x:v>
      </x:c>
      <x:c r="G175" s="31" t="str">
        <x:v>你主讲</x:v>
      </x:c>
      <x:c r="H175" s="31" t="str">
        <x:v>依赖真实项目决策、波形判断或完整调试经验，适合由课程负责人讲清工程取舍。</x:v>
      </x:c>
      <x:c r="I175" s="31" t="str">
        <x:v>原理讲解＋工程案例＋检查题</x:v>
      </x:c>
      <x:c r="J175" s="31" t="str">
        <x:v>讲稿、课件、示例、作业与答案</x:v>
      </x:c>
      <x:c r="K175" s="31" t="str">
        <x:v>核心</x:v>
      </x:c>
      <x:c r="L175" s="31" t="str">
        <x:v>待确认</x:v>
      </x:c>
      <x:c r="M175" s="31" t="str">
        <x:v>参考所属系列前序模块</x:v>
      </x:c>
      <x:c r="N175" s="31" t="str"/>
    </x:row>
    <x:row r="176" ht="42" customHeight="1">
      <x:c r="A176" s="31" t="str">
        <x:v>Z5.01</x:v>
      </x:c>
      <x:c r="B176" s="31" t="str">
        <x:v>Z</x:v>
      </x:c>
      <x:c r="C176" s="31" t="str">
        <x:v>Z5</x:v>
      </x:c>
      <x:c r="D176" s="31" t="str">
        <x:v>编码器、Hall 与有感三闭环控制</x:v>
      </x:c>
      <x:c r="E176" s="31" t="str">
        <x:v>SPI/ABI 磁编码器、光电编码器与 Hall 的特性和适用场景</x:v>
      </x:c>
      <x:c r="F176" s="31" t="str">
        <x:v>A｜建议你主讲</x:v>
      </x:c>
      <x:c r="G176" s="31" t="str">
        <x:v>你主讲</x:v>
      </x:c>
      <x:c r="H176" s="31" t="str">
        <x:v>依赖真实项目决策、波形判断或完整调试经验，适合由课程负责人讲清工程取舍。</x:v>
      </x:c>
      <x:c r="I176" s="31" t="str">
        <x:v>原理讲解＋工程案例＋检查题</x:v>
      </x:c>
      <x:c r="J176" s="31" t="str">
        <x:v>讲稿、课件、示例、作业与答案</x:v>
      </x:c>
      <x:c r="K176" s="31" t="str">
        <x:v>核心</x:v>
      </x:c>
      <x:c r="L176" s="31" t="str">
        <x:v>待确认</x:v>
      </x:c>
      <x:c r="M176" s="31" t="str">
        <x:v>参考所属系列前序模块</x:v>
      </x:c>
      <x:c r="N176" s="31" t="str"/>
    </x:row>
    <x:row r="177" ht="42" customHeight="1">
      <x:c r="A177" s="31" t="str">
        <x:v>Z5.02</x:v>
      </x:c>
      <x:c r="B177" s="31" t="str">
        <x:v>Z</x:v>
      </x:c>
      <x:c r="C177" s="31" t="str">
        <x:v>Z5</x:v>
      </x:c>
      <x:c r="D177" s="31" t="str">
        <x:v>编码器、Hall 与有感三闭环控制</x:v>
      </x:c>
      <x:c r="E177" s="31" t="str">
        <x:v>传感器供电、通信、错误位、原始角度与信号质量检查</x:v>
      </x:c>
      <x:c r="F177" s="31" t="str">
        <x:v>A｜建议你主讲</x:v>
      </x:c>
      <x:c r="G177" s="31" t="str">
        <x:v>你主讲</x:v>
      </x:c>
      <x:c r="H177" s="31" t="str">
        <x:v>依赖真实项目决策、波形判断或完整调试经验，适合由课程负责人讲清工程取舍。</x:v>
      </x:c>
      <x:c r="I177" s="31" t="str">
        <x:v>原理＋代码演示＋最小练习</x:v>
      </x:c>
      <x:c r="J177" s="31" t="str">
        <x:v>讲稿、可运行代码、配置说明、最小测试</x:v>
      </x:c>
      <x:c r="K177" s="31" t="str">
        <x:v>核心</x:v>
      </x:c>
      <x:c r="L177" s="31" t="str">
        <x:v>待确认</x:v>
      </x:c>
      <x:c r="M177" s="31" t="str">
        <x:v>参考所属系列前序模块</x:v>
      </x:c>
      <x:c r="N177" s="31" t="str"/>
    </x:row>
    <x:row r="178" ht="42" customHeight="1">
      <x:c r="A178" s="31" t="str">
        <x:v>Z5.03</x:v>
      </x:c>
      <x:c r="B178" s="31" t="str">
        <x:v>Z</x:v>
      </x:c>
      <x:c r="C178" s="31" t="str">
        <x:v>Z5</x:v>
      </x:c>
      <x:c r="D178" s="31" t="str">
        <x:v>编码器、Hall 与有感三闭环控制</x:v>
      </x:c>
      <x:c r="E178" s="31" t="str">
        <x:v>机械角、电角度、极对数、旋转方向与相序关系校准</x:v>
      </x:c>
      <x:c r="F178" s="31" t="str">
        <x:v>A｜建议你主讲</x:v>
      </x:c>
      <x:c r="G178" s="31" t="str">
        <x:v>你主讲</x:v>
      </x:c>
      <x:c r="H178" s="31" t="str">
        <x:v>依赖真实项目决策、波形判断或完整调试经验，适合由课程负责人讲清工程取舍。</x:v>
      </x:c>
      <x:c r="I178" s="31" t="str">
        <x:v>原理讲解＋工程案例＋检查题</x:v>
      </x:c>
      <x:c r="J178" s="31" t="str">
        <x:v>讲稿、课件、示例、作业与答案</x:v>
      </x:c>
      <x:c r="K178" s="31" t="str">
        <x:v>核心</x:v>
      </x:c>
      <x:c r="L178" s="31" t="str">
        <x:v>待确认</x:v>
      </x:c>
      <x:c r="M178" s="31" t="str">
        <x:v>参考所属系列前序模块</x:v>
      </x:c>
      <x:c r="N178" s="31" t="str"/>
    </x:row>
    <x:row r="179" ht="42" customHeight="1">
      <x:c r="A179" s="31" t="str">
        <x:v>Z5.04</x:v>
      </x:c>
      <x:c r="B179" s="31" t="str">
        <x:v>Z</x:v>
      </x:c>
      <x:c r="C179" s="31" t="str">
        <x:v>Z5</x:v>
      </x:c>
      <x:c r="D179" s="31" t="str">
        <x:v>编码器、Hall 与有感三闭环控制</x:v>
      </x:c>
      <x:c r="E179" s="31" t="str">
        <x:v>Alignment、电角度零位标定、重复性与正反转验证</x:v>
      </x:c>
      <x:c r="F179" s="31" t="str">
        <x:v>A｜建议你主讲</x:v>
      </x:c>
      <x:c r="G179" s="31" t="str">
        <x:v>你主讲</x:v>
      </x:c>
      <x:c r="H179" s="31" t="str">
        <x:v>依赖真实项目决策、波形判断或完整调试经验，适合由课程负责人讲清工程取舍。</x:v>
      </x:c>
      <x:c r="I179" s="31" t="str">
        <x:v>方法讲解＋实测数据＋问题复盘</x:v>
      </x:c>
      <x:c r="J179" s="31" t="str">
        <x:v>讲稿、实验步骤、原始数据、处理脚本、结果说明</x:v>
      </x:c>
      <x:c r="K179" s="31" t="str">
        <x:v>核心</x:v>
      </x:c>
      <x:c r="L179" s="31" t="str">
        <x:v>待确认</x:v>
      </x:c>
      <x:c r="M179" s="31" t="str">
        <x:v>参考所属系列前序模块</x:v>
      </x:c>
      <x:c r="N179" s="31" t="str"/>
    </x:row>
    <x:row r="180" ht="42" customHeight="1">
      <x:c r="A180" s="31" t="str">
        <x:v>Z5.05</x:v>
      </x:c>
      <x:c r="B180" s="31" t="str">
        <x:v>Z</x:v>
      </x:c>
      <x:c r="C180" s="31" t="str">
        <x:v>Z5</x:v>
      </x:c>
      <x:c r="D180" s="31" t="str">
        <x:v>编码器、Hall 与有感三闭环控制</x:v>
      </x:c>
      <x:c r="E180" s="31" t="str">
        <x:v>编码器单圈、多圈位置、角度回绕、回零与软件限位处理</x:v>
      </x:c>
      <x:c r="F180" s="31" t="str">
        <x:v>A｜建议你主讲</x:v>
      </x:c>
      <x:c r="G180" s="31" t="str">
        <x:v>你主讲</x:v>
      </x:c>
      <x:c r="H180" s="31" t="str">
        <x:v>依赖真实项目决策、波形判断或完整调试经验，适合由课程负责人讲清工程取舍。</x:v>
      </x:c>
      <x:c r="I180" s="31" t="str">
        <x:v>原理讲解＋工程案例＋检查题</x:v>
      </x:c>
      <x:c r="J180" s="31" t="str">
        <x:v>讲稿、课件、示例、作业与答案</x:v>
      </x:c>
      <x:c r="K180" s="31" t="str">
        <x:v>核心</x:v>
      </x:c>
      <x:c r="L180" s="31" t="str">
        <x:v>待确认</x:v>
      </x:c>
      <x:c r="M180" s="31" t="str">
        <x:v>参考所属系列前序模块</x:v>
      </x:c>
      <x:c r="N180" s="31" t="str"/>
    </x:row>
    <x:row r="181" ht="42" customHeight="1">
      <x:c r="A181" s="31" t="str">
        <x:v>Z5.06</x:v>
      </x:c>
      <x:c r="B181" s="31" t="str">
        <x:v>Z</x:v>
      </x:c>
      <x:c r="C181" s="31" t="str">
        <x:v>Z5</x:v>
      </x:c>
      <x:c r="D181" s="31" t="str">
        <x:v>编码器、Hall 与有感三闭环控制</x:v>
      </x:c>
      <x:c r="E181" s="31" t="str">
        <x:v>固定周期差分、M/T、边沿测速与基础 PLL 速度估算</x:v>
      </x:c>
      <x:c r="F181" s="31" t="str">
        <x:v>B｜你主讲，专项老师补充</x:v>
      </x:c>
      <x:c r="G181" s="31" t="str">
        <x:v>你主讲，专项老师补充</x:v>
      </x:c>
      <x:c r="H181" s="31" t="str">
        <x:v>属于核心专项，课程负责人控制主线，再由有实机经验的老师补充算法细节和适用边界。</x:v>
      </x:c>
      <x:c r="I181" s="31" t="str">
        <x:v>原理讲解＋工程案例＋检查题</x:v>
      </x:c>
      <x:c r="J181" s="31" t="str">
        <x:v>讲稿、课件、示例、作业与答案</x:v>
      </x:c>
      <x:c r="K181" s="31" t="str">
        <x:v>核心</x:v>
      </x:c>
      <x:c r="L181" s="31" t="str">
        <x:v>待确认</x:v>
      </x:c>
      <x:c r="M181" s="31" t="str">
        <x:v>参考所属系列前序模块</x:v>
      </x:c>
      <x:c r="N181" s="31" t="str"/>
    </x:row>
    <x:row r="182" ht="42" customHeight="1">
      <x:c r="A182" s="31" t="str">
        <x:v>Z5.07</x:v>
      </x:c>
      <x:c r="B182" s="31" t="str">
        <x:v>Z</x:v>
      </x:c>
      <x:c r="C182" s="31" t="str">
        <x:v>Z5</x:v>
      </x:c>
      <x:c r="D182" s="31" t="str">
        <x:v>编码器、Hall 与有感三闭环控制</x:v>
      </x:c>
      <x:c r="E182" s="31" t="str">
        <x:v>速度反馈滤波、低速分辨率、延迟与异常跳变处理</x:v>
      </x:c>
      <x:c r="F182" s="31" t="str">
        <x:v>A｜建议你主讲</x:v>
      </x:c>
      <x:c r="G182" s="31" t="str">
        <x:v>你主讲</x:v>
      </x:c>
      <x:c r="H182" s="31" t="str">
        <x:v>依赖真实项目决策、波形判断或完整调试经验，适合由课程负责人讲清工程取舍。</x:v>
      </x:c>
      <x:c r="I182" s="31" t="str">
        <x:v>原理讲解＋工程案例＋检查题</x:v>
      </x:c>
      <x:c r="J182" s="31" t="str">
        <x:v>讲稿、课件、示例、作业与答案</x:v>
      </x:c>
      <x:c r="K182" s="31" t="str">
        <x:v>核心</x:v>
      </x:c>
      <x:c r="L182" s="31" t="str">
        <x:v>待确认</x:v>
      </x:c>
      <x:c r="M182" s="31" t="str">
        <x:v>参考所属系列前序模块</x:v>
      </x:c>
      <x:c r="N182" s="31" t="str"/>
    </x:row>
    <x:row r="183" ht="42" customHeight="1">
      <x:c r="A183" s="31" t="str">
        <x:v>Z5.08</x:v>
      </x:c>
      <x:c r="B183" s="31" t="str">
        <x:v>Z</x:v>
      </x:c>
      <x:c r="C183" s="31" t="str">
        <x:v>Z5</x:v>
      </x:c>
      <x:c r="D183" s="31" t="str">
        <x:v>编码器、Hall 与有感三闭环控制</x:v>
      </x:c>
      <x:c r="E183" s="31" t="str">
        <x:v>Hall 六状态、安装关系、相序映射与基础自学习</x:v>
      </x:c>
      <x:c r="F183" s="31" t="str">
        <x:v>A｜建议你主讲</x:v>
      </x:c>
      <x:c r="G183" s="31" t="str">
        <x:v>你主讲</x:v>
      </x:c>
      <x:c r="H183" s="31" t="str">
        <x:v>依赖真实项目决策、波形判断或完整调试经验，适合由课程负责人讲清工程取舍。</x:v>
      </x:c>
      <x:c r="I183" s="31" t="str">
        <x:v>原理讲解＋工程案例＋检查题</x:v>
      </x:c>
      <x:c r="J183" s="31" t="str">
        <x:v>讲稿、课件、示例、作业与答案</x:v>
      </x:c>
      <x:c r="K183" s="31" t="str">
        <x:v>核心</x:v>
      </x:c>
      <x:c r="L183" s="31" t="str">
        <x:v>待确认</x:v>
      </x:c>
      <x:c r="M183" s="31" t="str">
        <x:v>参考所属系列前序模块</x:v>
      </x:c>
      <x:c r="N183" s="31" t="str"/>
    </x:row>
    <x:row r="184" ht="42" customHeight="1">
      <x:c r="A184" s="31" t="str">
        <x:v>Z5.09</x:v>
      </x:c>
      <x:c r="B184" s="31" t="str">
        <x:v>Z</x:v>
      </x:c>
      <x:c r="C184" s="31" t="str">
        <x:v>Z5</x:v>
      </x:c>
      <x:c r="D184" s="31" t="str">
        <x:v>编码器、Hall 与有感三闭环控制</x:v>
      </x:c>
      <x:c r="E184" s="31" t="str">
        <x:v>Hall 边沿插值、低速启动与正弦 FOC 连续角度生成</x:v>
      </x:c>
      <x:c r="F184" s="31" t="str">
        <x:v>A｜建议你主讲</x:v>
      </x:c>
      <x:c r="G184" s="31" t="str">
        <x:v>你主讲</x:v>
      </x:c>
      <x:c r="H184" s="31" t="str">
        <x:v>依赖真实项目决策、波形判断或完整调试经验，适合由课程负责人讲清工程取舍。</x:v>
      </x:c>
      <x:c r="I184" s="31" t="str">
        <x:v>原理讲解＋工程案例＋检查题</x:v>
      </x:c>
      <x:c r="J184" s="31" t="str">
        <x:v>讲稿、课件、示例、作业与答案</x:v>
      </x:c>
      <x:c r="K184" s="31" t="str">
        <x:v>核心</x:v>
      </x:c>
      <x:c r="L184" s="31" t="str">
        <x:v>待确认</x:v>
      </x:c>
      <x:c r="M184" s="31" t="str">
        <x:v>参考所属系列前序模块</x:v>
      </x:c>
      <x:c r="N184" s="31" t="str"/>
    </x:row>
    <x:row r="185" ht="42" customHeight="1">
      <x:c r="A185" s="31" t="str">
        <x:v>Z5.10</x:v>
      </x:c>
      <x:c r="B185" s="31" t="str">
        <x:v>Z</x:v>
      </x:c>
      <x:c r="C185" s="31" t="str">
        <x:v>Z5</x:v>
      </x:c>
      <x:c r="D185" s="31" t="str">
        <x:v>编码器、Hall 与有感三闭环控制</x:v>
      </x:c>
      <x:c r="E185" s="31" t="str">
        <x:v>速度环对象、惯量、转矩常数、带宽与 PI 参数设计</x:v>
      </x:c>
      <x:c r="F185" s="31" t="str">
        <x:v>A｜建议你主讲</x:v>
      </x:c>
      <x:c r="G185" s="31" t="str">
        <x:v>你主讲</x:v>
      </x:c>
      <x:c r="H185" s="31" t="str">
        <x:v>依赖真实项目决策、波形判断或完整调试经验，适合由课程负责人讲清工程取舍。</x:v>
      </x:c>
      <x:c r="I185" s="31" t="str">
        <x:v>原理讲解＋工程案例＋检查题</x:v>
      </x:c>
      <x:c r="J185" s="31" t="str">
        <x:v>讲稿、课件、示例、作业与答案</x:v>
      </x:c>
      <x:c r="K185" s="31" t="str">
        <x:v>核心</x:v>
      </x:c>
      <x:c r="L185" s="31" t="str">
        <x:v>待确认</x:v>
      </x:c>
      <x:c r="M185" s="31" t="str">
        <x:v>参考所属系列前序模块</x:v>
      </x:c>
      <x:c r="N185" s="31" t="str"/>
    </x:row>
    <x:row r="186" ht="42" customHeight="1">
      <x:c r="A186" s="31" t="str">
        <x:v>Z5.11</x:v>
      </x:c>
      <x:c r="B186" s="31" t="str">
        <x:v>Z</x:v>
      </x:c>
      <x:c r="C186" s="31" t="str">
        <x:v>Z5</x:v>
      </x:c>
      <x:c r="D186" s="31" t="str">
        <x:v>编码器、Hall 与有感三闭环控制</x:v>
      </x:c>
      <x:c r="E186" s="31" t="str">
        <x:v>速度参考斜坡、Iq 限幅、饱和、制动与扰动测试</x:v>
      </x:c>
      <x:c r="F186" s="31" t="str">
        <x:v>A｜建议你主讲</x:v>
      </x:c>
      <x:c r="G186" s="31" t="str">
        <x:v>你主讲</x:v>
      </x:c>
      <x:c r="H186" s="31" t="str">
        <x:v>依赖真实项目决策、波形判断或完整调试经验，适合由课程负责人讲清工程取舍。</x:v>
      </x:c>
      <x:c r="I186" s="31" t="str">
        <x:v>方法讲解＋实测数据＋问题复盘</x:v>
      </x:c>
      <x:c r="J186" s="31" t="str">
        <x:v>讲稿、实验步骤、原始数据、处理脚本、结果说明</x:v>
      </x:c>
      <x:c r="K186" s="31" t="str">
        <x:v>核心</x:v>
      </x:c>
      <x:c r="L186" s="31" t="str">
        <x:v>待确认</x:v>
      </x:c>
      <x:c r="M186" s="31" t="str">
        <x:v>参考所属系列前序模块</x:v>
      </x:c>
      <x:c r="N186" s="31" t="str"/>
    </x:row>
    <x:row r="187" ht="42" customHeight="1">
      <x:c r="A187" s="31" t="str">
        <x:v>Z5.12</x:v>
      </x:c>
      <x:c r="B187" s="31" t="str">
        <x:v>Z</x:v>
      </x:c>
      <x:c r="C187" s="31" t="str">
        <x:v>Z5</x:v>
      </x:c>
      <x:c r="D187" s="31" t="str">
        <x:v>编码器、Hall 与有感三闭环控制</x:v>
      </x:c>
      <x:c r="E187" s="31" t="str">
        <x:v>位置环结构、位置误差、限速、P/PD 与定位精度测试</x:v>
      </x:c>
      <x:c r="F187" s="31" t="str">
        <x:v>A｜建议你主讲</x:v>
      </x:c>
      <x:c r="G187" s="31" t="str">
        <x:v>你主讲</x:v>
      </x:c>
      <x:c r="H187" s="31" t="str">
        <x:v>依赖真实项目决策、波形判断或完整调试经验，适合由课程负责人讲清工程取舍。</x:v>
      </x:c>
      <x:c r="I187" s="31" t="str">
        <x:v>方法讲解＋实测数据＋问题复盘</x:v>
      </x:c>
      <x:c r="J187" s="31" t="str">
        <x:v>讲稿、实验步骤、原始数据、处理脚本、结果说明</x:v>
      </x:c>
      <x:c r="K187" s="31" t="str">
        <x:v>核心</x:v>
      </x:c>
      <x:c r="L187" s="31" t="str">
        <x:v>待确认</x:v>
      </x:c>
      <x:c r="M187" s="31" t="str">
        <x:v>参考所属系列前序模块</x:v>
      </x:c>
      <x:c r="N187" s="31" t="str"/>
    </x:row>
    <x:row r="188" ht="42" customHeight="1">
      <x:c r="A188" s="31" t="str">
        <x:v>Z5.13</x:v>
      </x:c>
      <x:c r="B188" s="31" t="str">
        <x:v>Z</x:v>
      </x:c>
      <x:c r="C188" s="31" t="str">
        <x:v>Z5</x:v>
      </x:c>
      <x:c r="D188" s="31" t="str">
        <x:v>编码器、Hall 与有感三闭环控制</x:v>
      </x:c>
      <x:c r="E188" s="31" t="str">
        <x:v>梯形轨迹、基础 S 曲线、速度/加速度前馈与运动冲击</x:v>
      </x:c>
      <x:c r="F188" s="31" t="str">
        <x:v>A｜建议你主讲</x:v>
      </x:c>
      <x:c r="G188" s="31" t="str">
        <x:v>你主讲</x:v>
      </x:c>
      <x:c r="H188" s="31" t="str">
        <x:v>依赖真实项目决策、波形判断或完整调试经验，适合由课程负责人讲清工程取舍。</x:v>
      </x:c>
      <x:c r="I188" s="31" t="str">
        <x:v>原理讲解＋工程案例＋检查题</x:v>
      </x:c>
      <x:c r="J188" s="31" t="str">
        <x:v>讲稿、课件、示例、作业与答案</x:v>
      </x:c>
      <x:c r="K188" s="31" t="str">
        <x:v>核心</x:v>
      </x:c>
      <x:c r="L188" s="31" t="str">
        <x:v>待确认</x:v>
      </x:c>
      <x:c r="M188" s="31" t="str">
        <x:v>参考所属系列前序模块</x:v>
      </x:c>
      <x:c r="N188" s="31" t="str"/>
    </x:row>
    <x:row r="189" ht="42" customHeight="1">
      <x:c r="A189" s="31" t="str">
        <x:v>Z5.14</x:v>
      </x:c>
      <x:c r="B189" s="31" t="str">
        <x:v>Z</x:v>
      </x:c>
      <x:c r="C189" s="31" t="str">
        <x:v>Z5</x:v>
      </x:c>
      <x:c r="D189" s="31" t="str">
        <x:v>编码器、Hall 与有感三闭环控制</x:v>
      </x:c>
      <x:c r="E189" s="31" t="str">
        <x:v>Current、Torque、Speed、Position 控制模式统一</x:v>
      </x:c>
      <x:c r="F189" s="31" t="str">
        <x:v>A｜建议你主讲</x:v>
      </x:c>
      <x:c r="G189" s="31" t="str">
        <x:v>你主讲</x:v>
      </x:c>
      <x:c r="H189" s="31" t="str">
        <x:v>依赖真实项目决策、波形判断或完整调试经验，适合由课程负责人讲清工程取舍。</x:v>
      </x:c>
      <x:c r="I189" s="31" t="str">
        <x:v>原理讲解＋工程案例＋检查题</x:v>
      </x:c>
      <x:c r="J189" s="31" t="str">
        <x:v>讲稿、课件、示例、作业与答案</x:v>
      </x:c>
      <x:c r="K189" s="31" t="str">
        <x:v>核心</x:v>
      </x:c>
      <x:c r="L189" s="31" t="str">
        <x:v>待确认</x:v>
      </x:c>
      <x:c r="M189" s="31" t="str">
        <x:v>参考所属系列前序模块</x:v>
      </x:c>
      <x:c r="N189" s="31" t="str"/>
    </x:row>
    <x:row r="190" ht="42" customHeight="1">
      <x:c r="A190" s="31" t="str">
        <x:v>Z5.15</x:v>
      </x:c>
      <x:c r="B190" s="31" t="str">
        <x:v>Z</x:v>
      </x:c>
      <x:c r="C190" s="31" t="str">
        <x:v>Z5</x:v>
      </x:c>
      <x:c r="D190" s="31" t="str">
        <x:v>编码器、Hall 与有感三闭环控制</x:v>
      </x:c>
      <x:c r="E190" s="31" t="str">
        <x:v>多模式启停、模式切换、积分状态与无扰切换验证</x:v>
      </x:c>
      <x:c r="F190" s="31" t="str">
        <x:v>A｜建议你主讲</x:v>
      </x:c>
      <x:c r="G190" s="31" t="str">
        <x:v>你主讲</x:v>
      </x:c>
      <x:c r="H190" s="31" t="str">
        <x:v>依赖真实项目决策、波形判断或完整调试经验，适合由课程负责人讲清工程取舍。</x:v>
      </x:c>
      <x:c r="I190" s="31" t="str">
        <x:v>原理讲解＋工程案例＋检查题</x:v>
      </x:c>
      <x:c r="J190" s="31" t="str">
        <x:v>讲稿、课件、示例、作业与答案</x:v>
      </x:c>
      <x:c r="K190" s="31" t="str">
        <x:v>核心</x:v>
      </x:c>
      <x:c r="L190" s="31" t="str">
        <x:v>待确认</x:v>
      </x:c>
      <x:c r="M190" s="31" t="str">
        <x:v>参考所属系列前序模块</x:v>
      </x:c>
      <x:c r="N190" s="31" t="str"/>
    </x:row>
    <x:row r="191" ht="42" customHeight="1">
      <x:c r="A191" s="31" t="str">
        <x:v>Z6.01</x:v>
      </x:c>
      <x:c r="B191" s="31" t="str">
        <x:v>Z</x:v>
      </x:c>
      <x:c r="C191" s="31" t="str">
        <x:v>Z6</x:v>
      </x:c>
      <x:c r="D191" s="31" t="str">
        <x:v>参数获取、无感估算、启动与闭环切换</x:v>
      </x:c>
      <x:c r="E191" s="31" t="str">
        <x:v>SMO、Luenberger/MRAS、磁链与凸极无感方法的速度区域和应用边界</x:v>
      </x:c>
      <x:c r="F191" s="31" t="str">
        <x:v>B｜你主讲，专项老师补充</x:v>
      </x:c>
      <x:c r="G191" s="31" t="str">
        <x:v>你主讲，专项老师补充</x:v>
      </x:c>
      <x:c r="H191" s="31" t="str">
        <x:v>属于核心专项，课程负责人控制主线，再由有实机经验的老师补充算法细节和适用边界。</x:v>
      </x:c>
      <x:c r="I191" s="31" t="str">
        <x:v>原理讲解＋工程案例＋检查题</x:v>
      </x:c>
      <x:c r="J191" s="31" t="str">
        <x:v>讲稿、课件、示例、作业与答案</x:v>
      </x:c>
      <x:c r="K191" s="31" t="str">
        <x:v>核心</x:v>
      </x:c>
      <x:c r="L191" s="31" t="str">
        <x:v>待确认</x:v>
      </x:c>
      <x:c r="M191" s="31" t="str">
        <x:v>参考所属系列前序模块</x:v>
      </x:c>
      <x:c r="N191" s="31" t="str"/>
    </x:row>
    <x:row r="192" ht="42" customHeight="1">
      <x:c r="A192" s="31" t="str">
        <x:v>Z6.02</x:v>
      </x:c>
      <x:c r="B192" s="31" t="str">
        <x:v>Z</x:v>
      </x:c>
      <x:c r="C192" s="31" t="str">
        <x:v>Z6</x:v>
      </x:c>
      <x:c r="D192" s="31" t="str">
        <x:v>参数获取、无感估算、启动与闭环切换</x:v>
      </x:c>
      <x:c r="E192" s="31" t="str">
        <x:v>相/线、星/三角、峰值/RMS、实值/标幺参数口径统一</x:v>
      </x:c>
      <x:c r="F192" s="31" t="str">
        <x:v>B｜你主讲，专项老师补充</x:v>
      </x:c>
      <x:c r="G192" s="31" t="str">
        <x:v>你主讲，专项老师补充</x:v>
      </x:c>
      <x:c r="H192" s="31" t="str">
        <x:v>属于核心专项，课程负责人控制主线，再由有实机经验的老师补充算法细节和适用边界。</x:v>
      </x:c>
      <x:c r="I192" s="31" t="str">
        <x:v>原理讲解＋工程案例＋检查题</x:v>
      </x:c>
      <x:c r="J192" s="31" t="str">
        <x:v>讲稿、课件、示例、作业与答案</x:v>
      </x:c>
      <x:c r="K192" s="31" t="str">
        <x:v>核心</x:v>
      </x:c>
      <x:c r="L192" s="31" t="str">
        <x:v>待确认</x:v>
      </x:c>
      <x:c r="M192" s="31" t="str">
        <x:v>参考所属系列前序模块</x:v>
      </x:c>
      <x:c r="N192" s="31" t="str"/>
    </x:row>
    <x:row r="193" ht="42" customHeight="1">
      <x:c r="A193" s="31" t="str">
        <x:v>Z6.03</x:v>
      </x:c>
      <x:c r="B193" s="31" t="str">
        <x:v>Z</x:v>
      </x:c>
      <x:c r="C193" s="31" t="str">
        <x:v>Z6</x:v>
      </x:c>
      <x:c r="D193" s="31" t="str">
        <x:v>参数获取、无感估算、启动与闭环切换</x:v>
      </x:c>
      <x:c r="E193" s="31" t="str">
        <x:v>Rs、Ld、Lq、永磁磁链与极对数的基础测量和数量级校核</x:v>
      </x:c>
      <x:c r="F193" s="31" t="str">
        <x:v>B｜你主讲，专项老师补充</x:v>
      </x:c>
      <x:c r="G193" s="31" t="str">
        <x:v>你主讲，专项老师补充</x:v>
      </x:c>
      <x:c r="H193" s="31" t="str">
        <x:v>属于核心专项，课程负责人控制主线，再由有实机经验的老师补充算法细节和适用边界。</x:v>
      </x:c>
      <x:c r="I193" s="31" t="str">
        <x:v>原理讲解＋工程案例＋检查题</x:v>
      </x:c>
      <x:c r="J193" s="31" t="str">
        <x:v>讲稿、课件、示例、作业与答案</x:v>
      </x:c>
      <x:c r="K193" s="31" t="str">
        <x:v>核心</x:v>
      </x:c>
      <x:c r="L193" s="31" t="str">
        <x:v>待确认</x:v>
      </x:c>
      <x:c r="M193" s="31" t="str">
        <x:v>参考所属系列前序模块</x:v>
      </x:c>
      <x:c r="N193" s="31" t="str"/>
    </x:row>
    <x:row r="194" ht="42" customHeight="1">
      <x:c r="A194" s="31" t="str">
        <x:v>Z6.04</x:v>
      </x:c>
      <x:c r="B194" s="31" t="str">
        <x:v>Z</x:v>
      </x:c>
      <x:c r="C194" s="31" t="str">
        <x:v>Z6</x:v>
      </x:c>
      <x:c r="D194" s="31" t="str">
        <x:v>参数获取、无感估算、启动与闭环切换</x:v>
      </x:c>
      <x:c r="E194" s="31" t="str">
        <x:v>参数、温度、饱和、母线与数字延迟对估算精度的影响</x:v>
      </x:c>
      <x:c r="F194" s="31" t="str">
        <x:v>B｜你主讲，专项老师补充</x:v>
      </x:c>
      <x:c r="G194" s="31" t="str">
        <x:v>你主讲，专项老师补充</x:v>
      </x:c>
      <x:c r="H194" s="31" t="str">
        <x:v>属于核心专项，课程负责人控制主线，再由有实机经验的老师补充算法细节和适用边界。</x:v>
      </x:c>
      <x:c r="I194" s="31" t="str">
        <x:v>原理讲解＋工程案例＋检查题</x:v>
      </x:c>
      <x:c r="J194" s="31" t="str">
        <x:v>讲稿、课件、示例、作业与答案</x:v>
      </x:c>
      <x:c r="K194" s="31" t="str">
        <x:v>核心</x:v>
      </x:c>
      <x:c r="L194" s="31" t="str">
        <x:v>待确认</x:v>
      </x:c>
      <x:c r="M194" s="31" t="str">
        <x:v>参考所属系列前序模块</x:v>
      </x:c>
      <x:c r="N194" s="31" t="str"/>
    </x:row>
    <x:row r="195" ht="42" customHeight="1">
      <x:c r="A195" s="31" t="str">
        <x:v>Z6.05</x:v>
      </x:c>
      <x:c r="B195" s="31" t="str">
        <x:v>Z</x:v>
      </x:c>
      <x:c r="C195" s="31" t="str">
        <x:v>Z6</x:v>
      </x:c>
      <x:c r="D195" s="31" t="str">
        <x:v>参数获取、无感估算、启动与闭环切换</x:v>
      </x:c>
      <x:c r="E195" s="31" t="str">
        <x:v>由 Duty、母线与调制结果构建观测器实际电压输入</x:v>
      </x:c>
      <x:c r="F195" s="31" t="str">
        <x:v>B｜你主讲，专项老师补充</x:v>
      </x:c>
      <x:c r="G195" s="31" t="str">
        <x:v>你主讲，专项老师补充</x:v>
      </x:c>
      <x:c r="H195" s="31" t="str">
        <x:v>属于核心专项，课程负责人控制主线，再由有实机经验的老师补充算法细节和适用边界。</x:v>
      </x:c>
      <x:c r="I195" s="31" t="str">
        <x:v>原理讲解＋工程案例＋检查题</x:v>
      </x:c>
      <x:c r="J195" s="31" t="str">
        <x:v>讲稿、课件、示例、作业与答案</x:v>
      </x:c>
      <x:c r="K195" s="31" t="str">
        <x:v>核心</x:v>
      </x:c>
      <x:c r="L195" s="31" t="str">
        <x:v>待确认</x:v>
      </x:c>
      <x:c r="M195" s="31" t="str">
        <x:v>参考所属系列前序模块</x:v>
      </x:c>
      <x:c r="N195" s="31" t="str"/>
    </x:row>
    <x:row r="196" ht="42" customHeight="1">
      <x:c r="A196" s="31" t="str">
        <x:v>Z6.06</x:v>
      </x:c>
      <x:c r="B196" s="31" t="str">
        <x:v>Z</x:v>
      </x:c>
      <x:c r="C196" s="31" t="str">
        <x:v>Z6</x:v>
      </x:c>
      <x:c r="D196" s="31" t="str">
        <x:v>参数获取、无感估算、启动与闭环切换</x:v>
      </x:c>
      <x:c r="E196" s="31" t="str">
        <x:v>标准 SMO 电流模型、滑模面、切换项与反电势估算</x:v>
      </x:c>
      <x:c r="F196" s="31" t="str">
        <x:v>B｜你主讲，专项老师补充</x:v>
      </x:c>
      <x:c r="G196" s="31" t="str">
        <x:v>你主讲，专项老师补充</x:v>
      </x:c>
      <x:c r="H196" s="31" t="str">
        <x:v>属于核心专项，课程负责人控制主线，再由有实机经验的老师补充算法细节和适用边界。</x:v>
      </x:c>
      <x:c r="I196" s="31" t="str">
        <x:v>原理＋模型＋对比验证</x:v>
      </x:c>
      <x:c r="J196" s="31" t="str">
        <x:v>讲稿、模型、参数说明、对比结果</x:v>
      </x:c>
      <x:c r="K196" s="31" t="str">
        <x:v>核心</x:v>
      </x:c>
      <x:c r="L196" s="31" t="str">
        <x:v>待确认</x:v>
      </x:c>
      <x:c r="M196" s="31" t="str">
        <x:v>参考所属系列前序模块</x:v>
      </x:c>
      <x:c r="N196" s="31" t="str"/>
    </x:row>
    <x:row r="197" ht="42" customHeight="1">
      <x:c r="A197" s="31" t="str">
        <x:v>Z6.07</x:v>
      </x:c>
      <x:c r="B197" s="31" t="str">
        <x:v>Z</x:v>
      </x:c>
      <x:c r="C197" s="31" t="str">
        <x:v>Z6</x:v>
      </x:c>
      <x:c r="D197" s="31" t="str">
        <x:v>参数获取、无感估算、启动与闭环切换</x:v>
      </x:c>
      <x:c r="E197" s="31" t="str">
        <x:v>滑模增益、饱和函数、低通滤波与基础相位补偿</x:v>
      </x:c>
      <x:c r="F197" s="31" t="str">
        <x:v>B｜你主讲，专项老师补充</x:v>
      </x:c>
      <x:c r="G197" s="31" t="str">
        <x:v>你主讲，专项老师补充</x:v>
      </x:c>
      <x:c r="H197" s="31" t="str">
        <x:v>属于核心专项，课程负责人控制主线，再由有实机经验的老师补充算法细节和适用边界。</x:v>
      </x:c>
      <x:c r="I197" s="31" t="str">
        <x:v>原理讲解＋工程案例＋检查题</x:v>
      </x:c>
      <x:c r="J197" s="31" t="str">
        <x:v>讲稿、课件、示例、作业与答案</x:v>
      </x:c>
      <x:c r="K197" s="31" t="str">
        <x:v>核心</x:v>
      </x:c>
      <x:c r="L197" s="31" t="str">
        <x:v>待确认</x:v>
      </x:c>
      <x:c r="M197" s="31" t="str">
        <x:v>参考所属系列前序模块</x:v>
      </x:c>
      <x:c r="N197" s="31" t="str"/>
    </x:row>
    <x:row r="198" ht="42" customHeight="1">
      <x:c r="A198" s="31" t="str">
        <x:v>Z6.08</x:v>
      </x:c>
      <x:c r="B198" s="31" t="str">
        <x:v>Z</x:v>
      </x:c>
      <x:c r="C198" s="31" t="str">
        <x:v>Z6</x:v>
      </x:c>
      <x:c r="D198" s="31" t="str">
        <x:v>参数获取、无感估算、启动与闭环切换</x:v>
      </x:c>
      <x:c r="E198" s="31" t="str">
        <x:v>PLL 鉴相、角度提取、速度估算、角度回绕与参数整定</x:v>
      </x:c>
      <x:c r="F198" s="31" t="str">
        <x:v>B｜你主讲，专项老师补充</x:v>
      </x:c>
      <x:c r="G198" s="31" t="str">
        <x:v>你主讲，专项老师补充</x:v>
      </x:c>
      <x:c r="H198" s="31" t="str">
        <x:v>属于核心专项，课程负责人控制主线，再由有实机经验的老师补充算法细节和适用边界。</x:v>
      </x:c>
      <x:c r="I198" s="31" t="str">
        <x:v>原理讲解＋工程案例＋检查题</x:v>
      </x:c>
      <x:c r="J198" s="31" t="str">
        <x:v>讲稿、课件、示例、作业与答案</x:v>
      </x:c>
      <x:c r="K198" s="31" t="str">
        <x:v>核心</x:v>
      </x:c>
      <x:c r="L198" s="31" t="str">
        <x:v>待确认</x:v>
      </x:c>
      <x:c r="M198" s="31" t="str">
        <x:v>参考所属系列前序模块</x:v>
      </x:c>
      <x:c r="N198" s="31" t="str"/>
    </x:row>
    <x:row r="199" ht="42" customHeight="1">
      <x:c r="A199" s="31" t="str">
        <x:v>Z6.09</x:v>
      </x:c>
      <x:c r="B199" s="31" t="str">
        <x:v>Z</x:v>
      </x:c>
      <x:c r="C199" s="31" t="str">
        <x:v>Z6</x:v>
      </x:c>
      <x:c r="D199" s="31" t="str">
        <x:v>参数获取、无感估算、启动与闭环切换</x:v>
      </x:c>
      <x:c r="E199" s="31" t="str">
        <x:v>Observer 统一接口、有效性指标、诊断状态与故障退出</x:v>
      </x:c>
      <x:c r="F199" s="31" t="str">
        <x:v>B｜你主讲，专项老师补充</x:v>
      </x:c>
      <x:c r="G199" s="31" t="str">
        <x:v>你主讲，专项老师补充</x:v>
      </x:c>
      <x:c r="H199" s="31" t="str">
        <x:v>属于核心专项，课程负责人控制主线，再由有实机经验的老师补充算法细节和适用边界。</x:v>
      </x:c>
      <x:c r="I199" s="31" t="str">
        <x:v>方法讲解＋实测数据＋问题复盘</x:v>
      </x:c>
      <x:c r="J199" s="31" t="str">
        <x:v>讲稿、课件、示例、作业与答案</x:v>
      </x:c>
      <x:c r="K199" s="31" t="str">
        <x:v>核心</x:v>
      </x:c>
      <x:c r="L199" s="31" t="str">
        <x:v>待确认</x:v>
      </x:c>
      <x:c r="M199" s="31" t="str">
        <x:v>参考所属系列前序模块</x:v>
      </x:c>
      <x:c r="N199" s="31" t="str"/>
    </x:row>
    <x:row r="200" ht="42" customHeight="1">
      <x:c r="A200" s="31" t="str">
        <x:v>Z6.10</x:v>
      </x:c>
      <x:c r="B200" s="31" t="str">
        <x:v>Z</x:v>
      </x:c>
      <x:c r="C200" s="31" t="str">
        <x:v>Z6</x:v>
      </x:c>
      <x:c r="D200" s="31" t="str">
        <x:v>参数获取、无感估算、启动与闭环切换</x:v>
      </x:c>
      <x:c r="E200" s="31" t="str">
        <x:v>SMO 角度/速度与编码器真值对比及误差测试</x:v>
      </x:c>
      <x:c r="F200" s="31" t="str">
        <x:v>B｜你主讲，专项老师补充</x:v>
      </x:c>
      <x:c r="G200" s="31" t="str">
        <x:v>你主讲，专项老师补充</x:v>
      </x:c>
      <x:c r="H200" s="31" t="str">
        <x:v>属于核心专项，课程负责人控制主线，再由有实机经验的老师补充算法细节和适用边界。</x:v>
      </x:c>
      <x:c r="I200" s="31" t="str">
        <x:v>方法讲解＋实测数据＋问题复盘</x:v>
      </x:c>
      <x:c r="J200" s="31" t="str">
        <x:v>讲稿、实验步骤、原始数据、处理脚本、结果说明</x:v>
      </x:c>
      <x:c r="K200" s="31" t="str">
        <x:v>核心</x:v>
      </x:c>
      <x:c r="L200" s="31" t="str">
        <x:v>待确认</x:v>
      </x:c>
      <x:c r="M200" s="31" t="str">
        <x:v>参考所属系列前序模块</x:v>
      </x:c>
      <x:c r="N200" s="31" t="str"/>
    </x:row>
    <x:row r="201" ht="42" customHeight="1">
      <x:c r="A201" s="31" t="str">
        <x:v>Z6.11</x:v>
      </x:c>
      <x:c r="B201" s="31" t="str">
        <x:v>Z</x:v>
      </x:c>
      <x:c r="C201" s="31" t="str">
        <x:v>Z6</x:v>
      </x:c>
      <x:c r="D201" s="31" t="str">
        <x:v>参数获取、无感估算、启动与闭环切换</x:v>
      </x:c>
      <x:c r="E201" s="31" t="str">
        <x:v>预定位电流、角度、保持时间、超时与退出条件设计</x:v>
      </x:c>
      <x:c r="F201" s="31" t="str">
        <x:v>B｜你主讲，专项老师补充</x:v>
      </x:c>
      <x:c r="G201" s="31" t="str">
        <x:v>你主讲，专项老师补充</x:v>
      </x:c>
      <x:c r="H201" s="31" t="str">
        <x:v>属于核心专项，课程负责人控制主线，再由有实机经验的老师补充算法细节和适用边界。</x:v>
      </x:c>
      <x:c r="I201" s="31" t="str">
        <x:v>原理讲解＋工程案例＋检查题</x:v>
      </x:c>
      <x:c r="J201" s="31" t="str">
        <x:v>讲稿、课件、示例、作业与答案</x:v>
      </x:c>
      <x:c r="K201" s="31" t="str">
        <x:v>核心</x:v>
      </x:c>
      <x:c r="L201" s="31" t="str">
        <x:v>待确认</x:v>
      </x:c>
      <x:c r="M201" s="31" t="str">
        <x:v>参考所属系列前序模块</x:v>
      </x:c>
      <x:c r="N201" s="31" t="str"/>
    </x:row>
    <x:row r="202" ht="42" customHeight="1">
      <x:c r="A202" s="31" t="str">
        <x:v>Z6.12</x:v>
      </x:c>
      <x:c r="B202" s="31" t="str">
        <x:v>Z</x:v>
      </x:c>
      <x:c r="C202" s="31" t="str">
        <x:v>Z6</x:v>
      </x:c>
      <x:c r="D202" s="31" t="str">
        <x:v>参数获取、无感估算、启动与闭环切换</x:v>
      </x:c>
      <x:c r="E202" s="31" t="str">
        <x:v>I/F 虚拟角度、速度斜坡、负载角、电流裕量与失步边界</x:v>
      </x:c>
      <x:c r="F202" s="31" t="str">
        <x:v>B｜你主讲，专项老师补充</x:v>
      </x:c>
      <x:c r="G202" s="31" t="str">
        <x:v>你主讲，专项老师补充</x:v>
      </x:c>
      <x:c r="H202" s="31" t="str">
        <x:v>属于核心专项，课程负责人控制主线，再由有实机经验的老师补充算法细节和适用边界。</x:v>
      </x:c>
      <x:c r="I202" s="31" t="str">
        <x:v>原理讲解＋工程案例＋检查题</x:v>
      </x:c>
      <x:c r="J202" s="31" t="str">
        <x:v>讲稿、课件、示例、作业与答案</x:v>
      </x:c>
      <x:c r="K202" s="31" t="str">
        <x:v>核心</x:v>
      </x:c>
      <x:c r="L202" s="31" t="str">
        <x:v>待确认</x:v>
      </x:c>
      <x:c r="M202" s="31" t="str">
        <x:v>参考所属系列前序模块</x:v>
      </x:c>
      <x:c r="N202" s="31" t="str"/>
    </x:row>
    <x:row r="203" ht="42" customHeight="1">
      <x:c r="A203" s="31" t="str">
        <x:v>Z6.13</x:v>
      </x:c>
      <x:c r="B203" s="31" t="str">
        <x:v>Z</x:v>
      </x:c>
      <x:c r="C203" s="31" t="str">
        <x:v>Z6</x:v>
      </x:c>
      <x:c r="D203" s="31" t="str">
        <x:v>参数获取、无感估算、启动与闭环切换</x:v>
      </x:c>
      <x:c r="E203" s="31" t="str">
        <x:v>反电势幅值、PLL 误差、速度和持续时间构成的捕获条件</x:v>
      </x:c>
      <x:c r="F203" s="31" t="str">
        <x:v>B｜你主讲，专项老师补充</x:v>
      </x:c>
      <x:c r="G203" s="31" t="str">
        <x:v>你主讲，专项老师补充</x:v>
      </x:c>
      <x:c r="H203" s="31" t="str">
        <x:v>属于核心专项，课程负责人控制主线，再由有实机经验的老师补充算法细节和适用边界。</x:v>
      </x:c>
      <x:c r="I203" s="31" t="str">
        <x:v>原理讲解＋工程案例＋检查题</x:v>
      </x:c>
      <x:c r="J203" s="31" t="str">
        <x:v>讲稿、课件、示例、作业与答案</x:v>
      </x:c>
      <x:c r="K203" s="31" t="str">
        <x:v>核心</x:v>
      </x:c>
      <x:c r="L203" s="31" t="str">
        <x:v>待确认</x:v>
      </x:c>
      <x:c r="M203" s="31" t="str">
        <x:v>参考所属系列前序模块</x:v>
      </x:c>
      <x:c r="N203" s="31" t="str"/>
    </x:row>
    <x:row r="204" ht="42" customHeight="1">
      <x:c r="A204" s="31" t="str">
        <x:v>Z6.14</x:v>
      </x:c>
      <x:c r="B204" s="31" t="str">
        <x:v>Z</x:v>
      </x:c>
      <x:c r="C204" s="31" t="str">
        <x:v>Z6</x:v>
      </x:c>
      <x:c r="D204" s="31" t="str">
        <x:v>参数获取、无感估算、启动与闭环切换</x:v>
      </x:c>
      <x:c r="E204" s="31" t="str">
        <x:v>开环角、估算角、速度、PI 状态与电流参考的平滑切换</x:v>
      </x:c>
      <x:c r="F204" s="31" t="str">
        <x:v>B｜你主讲，专项老师补充</x:v>
      </x:c>
      <x:c r="G204" s="31" t="str">
        <x:v>你主讲，专项老师补充</x:v>
      </x:c>
      <x:c r="H204" s="31" t="str">
        <x:v>属于核心专项，课程负责人控制主线，再由有实机经验的老师补充算法细节和适用边界。</x:v>
      </x:c>
      <x:c r="I204" s="31" t="str">
        <x:v>原理讲解＋工程案例＋检查题</x:v>
      </x:c>
      <x:c r="J204" s="31" t="str">
        <x:v>讲稿、课件、示例、作业与答案</x:v>
      </x:c>
      <x:c r="K204" s="31" t="str">
        <x:v>核心</x:v>
      </x:c>
      <x:c r="L204" s="31" t="str">
        <x:v>待确认</x:v>
      </x:c>
      <x:c r="M204" s="31" t="str">
        <x:v>参考所属系列前序模块</x:v>
      </x:c>
      <x:c r="N204" s="31" t="str"/>
    </x:row>
    <x:row r="205" ht="42" customHeight="1">
      <x:c r="A205" s="31" t="str">
        <x:v>Z6.15</x:v>
      </x:c>
      <x:c r="B205" s="31" t="str">
        <x:v>Z</x:v>
      </x:c>
      <x:c r="C205" s="31" t="str">
        <x:v>Z6</x:v>
      </x:c>
      <x:c r="D205" s="31" t="str">
        <x:v>参数获取、无感估算、启动与闭环切换</x:v>
      </x:c>
      <x:c r="E205" s="31" t="str">
        <x:v>正转、反转、减速、停车与基础再启动状态流程</x:v>
      </x:c>
      <x:c r="F205" s="31" t="str">
        <x:v>B｜你主讲，专项老师补充</x:v>
      </x:c>
      <x:c r="G205" s="31" t="str">
        <x:v>你主讲，专项老师补充</x:v>
      </x:c>
      <x:c r="H205" s="31" t="str">
        <x:v>属于核心专项，课程负责人控制主线，再由有实机经验的老师补充算法细节和适用边界。</x:v>
      </x:c>
      <x:c r="I205" s="31" t="str">
        <x:v>原理讲解＋工程案例＋检查题</x:v>
      </x:c>
      <x:c r="J205" s="31" t="str">
        <x:v>讲稿、课件、示例、作业与答案</x:v>
      </x:c>
      <x:c r="K205" s="31" t="str">
        <x:v>核心</x:v>
      </x:c>
      <x:c r="L205" s="31" t="str">
        <x:v>待确认</x:v>
      </x:c>
      <x:c r="M205" s="31" t="str">
        <x:v>参考所属系列前序模块</x:v>
      </x:c>
      <x:c r="N205" s="31" t="str"/>
    </x:row>
    <x:row r="206" ht="42" customHeight="1">
      <x:c r="A206" s="31" t="str">
        <x:v>Z6.16</x:v>
      </x:c>
      <x:c r="B206" s="31" t="str">
        <x:v>Z</x:v>
      </x:c>
      <x:c r="C206" s="31" t="str">
        <x:v>Z6</x:v>
      </x:c>
      <x:c r="D206" s="31" t="str">
        <x:v>参数获取、无感估算、启动与闭环切换</x:v>
      </x:c>
      <x:c r="E206" s="31" t="str">
        <x:v>启动超时、堵转、失步、失锁、过流与冲击负载处理</x:v>
      </x:c>
      <x:c r="F206" s="31" t="str">
        <x:v>B｜你主讲，专项老师补充</x:v>
      </x:c>
      <x:c r="G206" s="31" t="str">
        <x:v>你主讲，专项老师补充</x:v>
      </x:c>
      <x:c r="H206" s="31" t="str">
        <x:v>属于核心专项，课程负责人控制主线，再由有实机经验的老师补充算法细节和适用边界。</x:v>
      </x:c>
      <x:c r="I206" s="31" t="str">
        <x:v>原理讲解＋工程案例＋检查题</x:v>
      </x:c>
      <x:c r="J206" s="31" t="str">
        <x:v>讲稿、课件、示例、作业与答案</x:v>
      </x:c>
      <x:c r="K206" s="31" t="str">
        <x:v>核心</x:v>
      </x:c>
      <x:c r="L206" s="31" t="str">
        <x:v>待确认</x:v>
      </x:c>
      <x:c r="M206" s="31" t="str">
        <x:v>参考所属系列前序模块</x:v>
      </x:c>
      <x:c r="N206" s="31" t="str"/>
    </x:row>
    <x:row r="207" ht="42" customHeight="1">
      <x:c r="A207" s="31" t="str">
        <x:v>Z6.17</x:v>
      </x:c>
      <x:c r="B207" s="31" t="str">
        <x:v>Z</x:v>
      </x:c>
      <x:c r="C207" s="31" t="str">
        <x:v>Z6</x:v>
      </x:c>
      <x:c r="D207" s="31" t="str">
        <x:v>参数获取、无感估算、启动与闭环切换</x:v>
      </x:c>
      <x:c r="E207" s="31" t="str">
        <x:v>零速到额定速度基础全速域无感运行与成功率测试</x:v>
      </x:c>
      <x:c r="F207" s="31" t="str">
        <x:v>B｜你主讲，专项老师补充</x:v>
      </x:c>
      <x:c r="G207" s="31" t="str">
        <x:v>你主讲，专项老师补充</x:v>
      </x:c>
      <x:c r="H207" s="31" t="str">
        <x:v>属于核心专项，课程负责人控制主线，再由有实机经验的老师补充算法细节和适用边界。</x:v>
      </x:c>
      <x:c r="I207" s="31" t="str">
        <x:v>方法讲解＋实测数据＋问题复盘</x:v>
      </x:c>
      <x:c r="J207" s="31" t="str">
        <x:v>讲稿、实验步骤、原始数据、处理脚本、结果说明</x:v>
      </x:c>
      <x:c r="K207" s="31" t="str">
        <x:v>核心</x:v>
      </x:c>
      <x:c r="L207" s="31" t="str">
        <x:v>待确认</x:v>
      </x:c>
      <x:c r="M207" s="31" t="str">
        <x:v>参考所属系列前序模块</x:v>
      </x:c>
      <x:c r="N207" s="31" t="str"/>
    </x:row>
    <x:row r="208" ht="42" customHeight="1">
      <x:c r="A208" s="31" t="str">
        <x:v>Z7.01</x:v>
      </x:c>
      <x:c r="B208" s="31" t="str">
        <x:v>Z</x:v>
      </x:c>
      <x:c r="C208" s="31" t="str">
        <x:v>Z7</x:v>
      </x:c>
      <x:c r="D208" s="31" t="str">
        <x:v>状态管理、保护体系与工程调试</x:v>
      </x:c>
      <x:c r="E208" s="31" t="str">
        <x:v>完整 Drive State、启动子状态与运行流程实现</x:v>
      </x:c>
      <x:c r="F208" s="31" t="str">
        <x:v>A｜建议你主讲</x:v>
      </x:c>
      <x:c r="G208" s="31" t="str">
        <x:v>你主讲</x:v>
      </x:c>
      <x:c r="H208" s="31" t="str">
        <x:v>依赖真实项目决策、波形判断或完整调试经验，适合由课程负责人讲清工程取舍。</x:v>
      </x:c>
      <x:c r="I208" s="31" t="str">
        <x:v>原理讲解＋工程案例＋检查题</x:v>
      </x:c>
      <x:c r="J208" s="31" t="str">
        <x:v>讲稿、课件、示例、作业与答案</x:v>
      </x:c>
      <x:c r="K208" s="31" t="str">
        <x:v>核心</x:v>
      </x:c>
      <x:c r="L208" s="31" t="str">
        <x:v>待确认</x:v>
      </x:c>
      <x:c r="M208" s="31" t="str">
        <x:v>参考所属系列前序模块</x:v>
      </x:c>
      <x:c r="N208" s="31" t="str"/>
    </x:row>
    <x:row r="209" ht="42" customHeight="1">
      <x:c r="A209" s="31" t="str">
        <x:v>Z7.02</x:v>
      </x:c>
      <x:c r="B209" s="31" t="str">
        <x:v>Z</x:v>
      </x:c>
      <x:c r="C209" s="31" t="str">
        <x:v>Z7</x:v>
      </x:c>
      <x:c r="D209" s="31" t="str">
        <x:v>状态管理、保护体系与工程调试</x:v>
      </x:c>
      <x:c r="E209" s="31" t="str">
        <x:v>Drive State 与 Current/Torque/Speed/Position Mode 解耦</x:v>
      </x:c>
      <x:c r="F209" s="31" t="str">
        <x:v>A｜建议你主讲</x:v>
      </x:c>
      <x:c r="G209" s="31" t="str">
        <x:v>你主讲</x:v>
      </x:c>
      <x:c r="H209" s="31" t="str">
        <x:v>依赖真实项目决策、波形判断或完整调试经验，适合由课程负责人讲清工程取舍。</x:v>
      </x:c>
      <x:c r="I209" s="31" t="str">
        <x:v>原理讲解＋工程案例＋检查题</x:v>
      </x:c>
      <x:c r="J209" s="31" t="str">
        <x:v>讲稿、课件、示例、作业与答案</x:v>
      </x:c>
      <x:c r="K209" s="31" t="str">
        <x:v>核心</x:v>
      </x:c>
      <x:c r="L209" s="31" t="str">
        <x:v>待确认</x:v>
      </x:c>
      <x:c r="M209" s="31" t="str">
        <x:v>参考所属系列前序模块</x:v>
      </x:c>
      <x:c r="N209" s="31" t="str"/>
    </x:row>
    <x:row r="210" ht="42" customHeight="1">
      <x:c r="A210" s="31" t="str">
        <x:v>Z7.03</x:v>
      </x:c>
      <x:c r="B210" s="31" t="str">
        <x:v>Z</x:v>
      </x:c>
      <x:c r="C210" s="31" t="str">
        <x:v>Z7</x:v>
      </x:c>
      <x:c r="D210" s="31" t="str">
        <x:v>状态管理、保护体系与工程调试</x:v>
      </x:c>
      <x:c r="E210" s="31" t="str">
        <x:v>硬件快速关断、快速软件保护与运行级保护分层设计</x:v>
      </x:c>
      <x:c r="F210" s="31" t="str">
        <x:v>A｜建议你主讲</x:v>
      </x:c>
      <x:c r="G210" s="31" t="str">
        <x:v>你主讲</x:v>
      </x:c>
      <x:c r="H210" s="31" t="str">
        <x:v>依赖真实项目决策、波形判断或完整调试经验，适合由课程负责人讲清工程取舍。</x:v>
      </x:c>
      <x:c r="I210" s="31" t="str">
        <x:v>方法讲解＋实测数据＋问题复盘</x:v>
      </x:c>
      <x:c r="J210" s="31" t="str">
        <x:v>讲稿、原理图/计算、板级测试记录、检查清单</x:v>
      </x:c>
      <x:c r="K210" s="31" t="str">
        <x:v>核心</x:v>
      </x:c>
      <x:c r="L210" s="31" t="str">
        <x:v>待确认</x:v>
      </x:c>
      <x:c r="M210" s="31" t="str">
        <x:v>参考所属系列前序模块</x:v>
      </x:c>
      <x:c r="N210" s="31" t="str"/>
    </x:row>
    <x:row r="211" ht="42" customHeight="1">
      <x:c r="A211" s="31" t="str">
        <x:v>Z7.04</x:v>
      </x:c>
      <x:c r="B211" s="31" t="str">
        <x:v>Z</x:v>
      </x:c>
      <x:c r="C211" s="31" t="str">
        <x:v>Z7</x:v>
      </x:c>
      <x:c r="D211" s="31" t="str">
        <x:v>状态管理、保护体系与工程调试</x:v>
      </x:c>
      <x:c r="E211" s="31" t="str">
        <x:v>过流、过压、欠压、超温、超速、堵转与失速保护标定</x:v>
      </x:c>
      <x:c r="F211" s="31" t="str">
        <x:v>A｜建议你主讲</x:v>
      </x:c>
      <x:c r="G211" s="31" t="str">
        <x:v>你主讲</x:v>
      </x:c>
      <x:c r="H211" s="31" t="str">
        <x:v>依赖真实项目决策、波形判断或完整调试经验，适合由课程负责人讲清工程取舍。</x:v>
      </x:c>
      <x:c r="I211" s="31" t="str">
        <x:v>方法讲解＋实测数据＋问题复盘</x:v>
      </x:c>
      <x:c r="J211" s="31" t="str">
        <x:v>讲稿、实验步骤、原始数据、处理脚本、结果说明</x:v>
      </x:c>
      <x:c r="K211" s="31" t="str">
        <x:v>核心</x:v>
      </x:c>
      <x:c r="L211" s="31" t="str">
        <x:v>待确认</x:v>
      </x:c>
      <x:c r="M211" s="31" t="str">
        <x:v>参考所属系列前序模块</x:v>
      </x:c>
      <x:c r="N211" s="31" t="str"/>
    </x:row>
    <x:row r="212" ht="42" customHeight="1">
      <x:c r="A212" s="31" t="str">
        <x:v>Z7.05</x:v>
      </x:c>
      <x:c r="B212" s="31" t="str">
        <x:v>Z</x:v>
      </x:c>
      <x:c r="C212" s="31" t="str">
        <x:v>Z7</x:v>
      </x:c>
      <x:c r="D212" s="31" t="str">
        <x:v>状态管理、保护体系与工程调试</x:v>
      </x:c>
      <x:c r="E212" s="31" t="str">
        <x:v>编码器异常、Hall 异常、Observer 失锁与通信超时处理</x:v>
      </x:c>
      <x:c r="F212" s="31" t="str">
        <x:v>A｜建议你主讲</x:v>
      </x:c>
      <x:c r="G212" s="31" t="str">
        <x:v>你主讲</x:v>
      </x:c>
      <x:c r="H212" s="31" t="str">
        <x:v>依赖真实项目决策、波形判断或完整调试经验，适合由课程负责人讲清工程取舍。</x:v>
      </x:c>
      <x:c r="I212" s="31" t="str">
        <x:v>原理＋代码演示＋最小练习</x:v>
      </x:c>
      <x:c r="J212" s="31" t="str">
        <x:v>讲稿、可运行代码、配置说明、最小测试</x:v>
      </x:c>
      <x:c r="K212" s="31" t="str">
        <x:v>核心</x:v>
      </x:c>
      <x:c r="L212" s="31" t="str">
        <x:v>待确认</x:v>
      </x:c>
      <x:c r="M212" s="31" t="str">
        <x:v>参考所属系列前序模块</x:v>
      </x:c>
      <x:c r="N212" s="31" t="str"/>
    </x:row>
    <x:row r="213" ht="42" customHeight="1">
      <x:c r="A213" s="31" t="str">
        <x:v>Z7.06</x:v>
      </x:c>
      <x:c r="B213" s="31" t="str">
        <x:v>Z</x:v>
      </x:c>
      <x:c r="C213" s="31" t="str">
        <x:v>Z7</x:v>
      </x:c>
      <x:c r="D213" s="31" t="str">
        <x:v>状态管理、保护体系与工程调试</x:v>
      </x:c>
      <x:c r="E213" s="31" t="str">
        <x:v>Fault Code、故障等级、首故障快照、历史与恢复机制建立</x:v>
      </x:c>
      <x:c r="F213" s="31" t="str">
        <x:v>A｜建议你主讲</x:v>
      </x:c>
      <x:c r="G213" s="31" t="str">
        <x:v>你主讲</x:v>
      </x:c>
      <x:c r="H213" s="31" t="str">
        <x:v>依赖真实项目决策、波形判断或完整调试经验，适合由课程负责人讲清工程取舍。</x:v>
      </x:c>
      <x:c r="I213" s="31" t="str">
        <x:v>方法讲解＋实测数据＋问题复盘</x:v>
      </x:c>
      <x:c r="J213" s="31" t="str">
        <x:v>讲稿、课件、示例、作业与答案</x:v>
      </x:c>
      <x:c r="K213" s="31" t="str">
        <x:v>核心</x:v>
      </x:c>
      <x:c r="L213" s="31" t="str">
        <x:v>待确认</x:v>
      </x:c>
      <x:c r="M213" s="31" t="str">
        <x:v>参考所属系列前序模块</x:v>
      </x:c>
      <x:c r="N213" s="31" t="str"/>
    </x:row>
    <x:row r="214" ht="42" customHeight="1">
      <x:c r="A214" s="31" t="str">
        <x:v>Z7.07</x:v>
      </x:c>
      <x:c r="B214" s="31" t="str">
        <x:v>Z</x:v>
      </x:c>
      <x:c r="C214" s="31" t="str">
        <x:v>Z7</x:v>
      </x:c>
      <x:c r="D214" s="31" t="str">
        <x:v>状态管理、保护体系与工程调试</x:v>
      </x:c>
      <x:c r="E214" s="31" t="str">
        <x:v>控制器 Init、Reset、Enable、Disable 与故障复位规则完善</x:v>
      </x:c>
      <x:c r="F214" s="31" t="str">
        <x:v>A｜建议你主讲</x:v>
      </x:c>
      <x:c r="G214" s="31" t="str">
        <x:v>你主讲</x:v>
      </x:c>
      <x:c r="H214" s="31" t="str">
        <x:v>依赖真实项目决策、波形判断或完整调试经验，适合由课程负责人讲清工程取舍。</x:v>
      </x:c>
      <x:c r="I214" s="31" t="str">
        <x:v>方法讲解＋实测数据＋问题复盘</x:v>
      </x:c>
      <x:c r="J214" s="31" t="str">
        <x:v>讲稿、课件、示例、作业与答案</x:v>
      </x:c>
      <x:c r="K214" s="31" t="str">
        <x:v>核心</x:v>
      </x:c>
      <x:c r="L214" s="31" t="str">
        <x:v>待确认</x:v>
      </x:c>
      <x:c r="M214" s="31" t="str">
        <x:v>参考所属系列前序模块</x:v>
      </x:c>
      <x:c r="N214" s="31" t="str"/>
    </x:row>
    <x:row r="215" ht="42" customHeight="1">
      <x:c r="A215" s="31" t="str">
        <x:v>Z7.08</x:v>
      </x:c>
      <x:c r="B215" s="31" t="str">
        <x:v>Z</x:v>
      </x:c>
      <x:c r="C215" s="31" t="str">
        <x:v>Z7</x:v>
      </x:c>
      <x:c r="D215" s="31" t="str">
        <x:v>状态管理、保护体系与工程调试</x:v>
      </x:c>
      <x:c r="E215" s="31" t="str">
        <x:v>上位机、VOFA+、串口日志、CSV、DAC、示波器与 Debug GPIO 调试方法</x:v>
      </x:c>
      <x:c r="F215" s="31" t="str">
        <x:v>A｜建议你主讲</x:v>
      </x:c>
      <x:c r="G215" s="31" t="str">
        <x:v>你主讲</x:v>
      </x:c>
      <x:c r="H215" s="31" t="str">
        <x:v>依赖真实项目决策、波形判断或完整调试经验，适合由课程负责人讲清工程取舍。</x:v>
      </x:c>
      <x:c r="I215" s="31" t="str">
        <x:v>方法讲解＋实测数据＋问题复盘</x:v>
      </x:c>
      <x:c r="J215" s="31" t="str">
        <x:v>讲稿、实验步骤、原始数据、处理脚本、结果说明</x:v>
      </x:c>
      <x:c r="K215" s="31" t="str">
        <x:v>核心</x:v>
      </x:c>
      <x:c r="L215" s="31" t="str">
        <x:v>待确认</x:v>
      </x:c>
      <x:c r="M215" s="31" t="str">
        <x:v>参考所属系列前序模块</x:v>
      </x:c>
      <x:c r="N215" s="31" t="str"/>
    </x:row>
    <x:row r="216" ht="42" customHeight="1">
      <x:c r="A216" s="31" t="str">
        <x:v>Z7.09</x:v>
      </x:c>
      <x:c r="B216" s="31" t="str">
        <x:v>Z</x:v>
      </x:c>
      <x:c r="C216" s="31" t="str">
        <x:v>Z7</x:v>
      </x:c>
      <x:c r="D216" s="31" t="str">
        <x:v>状态管理、保护体系与工程调试</x:v>
      </x:c>
      <x:c r="E216" s="31" t="str">
        <x:v>板级、开环、电流环、有感和无感分层问题定位树建立</x:v>
      </x:c>
      <x:c r="F216" s="31" t="str">
        <x:v>A｜建议你主讲</x:v>
      </x:c>
      <x:c r="G216" s="31" t="str">
        <x:v>你主讲</x:v>
      </x:c>
      <x:c r="H216" s="31" t="str">
        <x:v>依赖真实项目决策、波形判断或完整调试经验，适合由课程负责人讲清工程取舍。</x:v>
      </x:c>
      <x:c r="I216" s="31" t="str">
        <x:v>原理讲解＋工程案例＋检查题</x:v>
      </x:c>
      <x:c r="J216" s="31" t="str">
        <x:v>讲稿、课件、示例、作业与答案</x:v>
      </x:c>
      <x:c r="K216" s="31" t="str">
        <x:v>核心</x:v>
      </x:c>
      <x:c r="L216" s="31" t="str">
        <x:v>待确认</x:v>
      </x:c>
      <x:c r="M216" s="31" t="str">
        <x:v>参考所属系列前序模块</x:v>
      </x:c>
      <x:c r="N216" s="31" t="str"/>
    </x:row>
    <x:row r="217" ht="42" customHeight="1">
      <x:c r="A217" s="31" t="str">
        <x:v>Z7.10</x:v>
      </x:c>
      <x:c r="B217" s="31" t="str">
        <x:v>Z</x:v>
      </x:c>
      <x:c r="C217" s="31" t="str">
        <x:v>Z7</x:v>
      </x:c>
      <x:c r="D217" s="31" t="str">
        <x:v>状态管理、保护体系与工程调试</x:v>
      </x:c>
      <x:c r="E217" s="31" t="str">
        <x:v>不转、反转、过流、振荡、发热、切换冲击与高速失稳排查</x:v>
      </x:c>
      <x:c r="F217" s="31" t="str">
        <x:v>A｜建议你主讲</x:v>
      </x:c>
      <x:c r="G217" s="31" t="str">
        <x:v>你主讲</x:v>
      </x:c>
      <x:c r="H217" s="31" t="str">
        <x:v>依赖真实项目决策、波形判断或完整调试经验，适合由课程负责人讲清工程取舍。</x:v>
      </x:c>
      <x:c r="I217" s="31" t="str">
        <x:v>原理图/计算＋板级测试</x:v>
      </x:c>
      <x:c r="J217" s="31" t="str">
        <x:v>讲稿、原理图/计算、板级测试记录、检查清单</x:v>
      </x:c>
      <x:c r="K217" s="31" t="str">
        <x:v>核心</x:v>
      </x:c>
      <x:c r="L217" s="31" t="str">
        <x:v>待确认</x:v>
      </x:c>
      <x:c r="M217" s="31" t="str">
        <x:v>参考所属系列前序模块</x:v>
      </x:c>
      <x:c r="N217" s="31" t="str"/>
    </x:row>
    <x:row r="218" ht="42" customHeight="1">
      <x:c r="A218" s="31" t="str">
        <x:v>Z7.11</x:v>
      </x:c>
      <x:c r="B218" s="31" t="str">
        <x:v>Z</x:v>
      </x:c>
      <x:c r="C218" s="31" t="str">
        <x:v>Z7</x:v>
      </x:c>
      <x:c r="D218" s="31" t="str">
        <x:v>状态管理、保护体系与工程调试</x:v>
      </x:c>
      <x:c r="E218" s="31" t="str">
        <x:v>CPU Load、WCET、控制周期、Watchdog 与任务超期测试</x:v>
      </x:c>
      <x:c r="F218" s="31" t="str">
        <x:v>A｜建议你主讲</x:v>
      </x:c>
      <x:c r="G218" s="31" t="str">
        <x:v>你主讲</x:v>
      </x:c>
      <x:c r="H218" s="31" t="str">
        <x:v>依赖真实项目决策、波形判断或完整调试经验，适合由课程负责人讲清工程取舍。</x:v>
      </x:c>
      <x:c r="I218" s="31" t="str">
        <x:v>方法讲解＋实测数据＋问题复盘</x:v>
      </x:c>
      <x:c r="J218" s="31" t="str">
        <x:v>讲稿、实验步骤、原始数据、处理脚本、结果说明</x:v>
      </x:c>
      <x:c r="K218" s="31" t="str">
        <x:v>核心</x:v>
      </x:c>
      <x:c r="L218" s="31" t="str">
        <x:v>待确认</x:v>
      </x:c>
      <x:c r="M218" s="31" t="str">
        <x:v>参考所属系列前序模块</x:v>
      </x:c>
      <x:c r="N218" s="31" t="str"/>
    </x:row>
    <x:row r="219" ht="42" customHeight="1">
      <x:c r="A219" s="31" t="str">
        <x:v>Z7.12</x:v>
      </x:c>
      <x:c r="B219" s="31" t="str">
        <x:v>Z</x:v>
      </x:c>
      <x:c r="C219" s="31" t="str">
        <x:v>Z7</x:v>
      </x:c>
      <x:c r="D219" s="31" t="str">
        <x:v>状态管理、保护体系与工程调试</x:v>
      </x:c>
      <x:c r="E219" s="31" t="str">
        <x:v>板卡、电机、传感器、参数、固件与测试版本统一管理</x:v>
      </x:c>
      <x:c r="F219" s="31" t="str">
        <x:v>A｜建议你主讲</x:v>
      </x:c>
      <x:c r="G219" s="31" t="str">
        <x:v>你主讲</x:v>
      </x:c>
      <x:c r="H219" s="31" t="str">
        <x:v>依赖真实项目决策、波形判断或完整调试经验，适合由课程负责人讲清工程取舍。</x:v>
      </x:c>
      <x:c r="I219" s="31" t="str">
        <x:v>方法讲解＋实测数据＋问题复盘</x:v>
      </x:c>
      <x:c r="J219" s="31" t="str">
        <x:v>讲稿、实验步骤、原始数据、处理脚本、结果说明</x:v>
      </x:c>
      <x:c r="K219" s="31" t="str">
        <x:v>核心</x:v>
      </x:c>
      <x:c r="L219" s="31" t="str">
        <x:v>待确认</x:v>
      </x:c>
      <x:c r="M219" s="31" t="str">
        <x:v>参考所属系列前序模块</x:v>
      </x:c>
      <x:c r="N219" s="31" t="str"/>
    </x:row>
    <x:row r="220" ht="42" customHeight="1">
      <x:c r="A220" s="31" t="str">
        <x:v>Z7.13</x:v>
      </x:c>
      <x:c r="B220" s="31" t="str">
        <x:v>Z</x:v>
      </x:c>
      <x:c r="C220" s="31" t="str">
        <x:v>Z7</x:v>
      </x:c>
      <x:c r="D220" s="31" t="str">
        <x:v>状态管理、保护体系与工程调试</x:v>
      </x:c>
      <x:c r="E220" s="31" t="str">
        <x:v>更换同类电机后的相序、参数、PI、观测器和保护迁移</x:v>
      </x:c>
      <x:c r="F220" s="31" t="str">
        <x:v>B｜你主讲，专项老师补充</x:v>
      </x:c>
      <x:c r="G220" s="31" t="str">
        <x:v>你主讲，专项老师补充</x:v>
      </x:c>
      <x:c r="H220" s="31" t="str">
        <x:v>属于核心专项，课程负责人控制主线，再由有实机经验的老师补充算法细节和适用边界。</x:v>
      </x:c>
      <x:c r="I220" s="31" t="str">
        <x:v>方法讲解＋实测数据＋问题复盘</x:v>
      </x:c>
      <x:c r="J220" s="31" t="str">
        <x:v>讲稿、课件、示例、作业与答案</x:v>
      </x:c>
      <x:c r="K220" s="31" t="str">
        <x:v>核心</x:v>
      </x:c>
      <x:c r="L220" s="31" t="str">
        <x:v>待确认</x:v>
      </x:c>
      <x:c r="M220" s="31" t="str">
        <x:v>参考所属系列前序模块</x:v>
      </x:c>
      <x:c r="N220" s="31" t="str"/>
    </x:row>
    <x:row r="221" ht="42" customHeight="1">
      <x:c r="A221" s="31" t="str">
        <x:v>Z7.14</x:v>
      </x:c>
      <x:c r="B221" s="31" t="str">
        <x:v>Z</x:v>
      </x:c>
      <x:c r="C221" s="31" t="str">
        <x:v>Z7</x:v>
      </x:c>
      <x:c r="D221" s="31" t="str">
        <x:v>状态管理、保护体系与工程调试</x:v>
      </x:c>
      <x:c r="E221" s="31" t="str">
        <x:v>反复启停、正反转、模式切换、扰动和长时间压力测试</x:v>
      </x:c>
      <x:c r="F221" s="31" t="str">
        <x:v>A｜建议你主讲</x:v>
      </x:c>
      <x:c r="G221" s="31" t="str">
        <x:v>你主讲</x:v>
      </x:c>
      <x:c r="H221" s="31" t="str">
        <x:v>依赖真实项目决策、波形判断或完整调试经验，适合由课程负责人讲清工程取舍。</x:v>
      </x:c>
      <x:c r="I221" s="31" t="str">
        <x:v>方法讲解＋实测数据＋问题复盘</x:v>
      </x:c>
      <x:c r="J221" s="31" t="str">
        <x:v>讲稿、实验步骤、原始数据、处理脚本、结果说明</x:v>
      </x:c>
      <x:c r="K221" s="31" t="str">
        <x:v>核心</x:v>
      </x:c>
      <x:c r="L221" s="31" t="str">
        <x:v>待确认</x:v>
      </x:c>
      <x:c r="M221" s="31" t="str">
        <x:v>参考所属系列前序模块</x:v>
      </x:c>
      <x:c r="N221" s="31" t="str"/>
    </x:row>
    <x:row r="222" ht="42" customHeight="1">
      <x:c r="A222" s="31" t="str">
        <x:v>Z7.15</x:v>
      </x:c>
      <x:c r="B222" s="31" t="str">
        <x:v>Z</x:v>
      </x:c>
      <x:c r="C222" s="31" t="str">
        <x:v>Z7</x:v>
      </x:c>
      <x:c r="D222" s="31" t="str">
        <x:v>状态管理、保护体系与工程调试</x:v>
      </x:c>
      <x:c r="E222" s="31" t="str">
        <x:v>上电、配置、标定、调试、故障码与已知限制文档编写</x:v>
      </x:c>
      <x:c r="F222" s="31" t="str">
        <x:v>A｜建议你主讲</x:v>
      </x:c>
      <x:c r="G222" s="31" t="str">
        <x:v>你主讲</x:v>
      </x:c>
      <x:c r="H222" s="31" t="str">
        <x:v>依赖真实项目决策、波形判断或完整调试经验，适合由课程负责人讲清工程取舍。</x:v>
      </x:c>
      <x:c r="I222" s="31" t="str">
        <x:v>方法讲解＋实测数据＋问题复盘</x:v>
      </x:c>
      <x:c r="J222" s="31" t="str">
        <x:v>讲稿、实验步骤、原始数据、处理脚本、结果说明</x:v>
      </x:c>
      <x:c r="K222" s="31" t="str">
        <x:v>核心</x:v>
      </x:c>
      <x:c r="L222" s="31" t="str">
        <x:v>待确认</x:v>
      </x:c>
      <x:c r="M222" s="31" t="str">
        <x:v>参考所属系列前序模块</x:v>
      </x:c>
      <x:c r="N222" s="31" t="str"/>
    </x:row>
    <x:row r="223" ht="42" customHeight="1">
      <x:c r="A223" s="31" t="str">
        <x:v>Z7.16</x:v>
      </x:c>
      <x:c r="B223" s="31" t="str">
        <x:v>Z</x:v>
      </x:c>
      <x:c r="C223" s="31" t="str">
        <x:v>Z7</x:v>
      </x:c>
      <x:c r="D223" s="31" t="str">
        <x:v>状态管理、保护体系与工程调试</x:v>
      </x:c>
      <x:c r="E223" s="31" t="str">
        <x:v>水泵/风机项目中的 PWM 指令、FG、负载变化与恒功率控制案例</x:v>
      </x:c>
      <x:c r="F223" s="31" t="str">
        <x:v>A｜建议你主讲</x:v>
      </x:c>
      <x:c r="G223" s="31" t="str">
        <x:v>你主讲</x:v>
      </x:c>
      <x:c r="H223" s="31" t="str">
        <x:v>依赖真实项目决策、波形判断或完整调试经验，适合由课程负责人讲清工程取舍。</x:v>
      </x:c>
      <x:c r="I223" s="31" t="str">
        <x:v>原理讲解＋工程案例＋检查题</x:v>
      </x:c>
      <x:c r="J223" s="31" t="str">
        <x:v>讲稿、课件、示例、作业与答案</x:v>
      </x:c>
      <x:c r="K223" s="31" t="str">
        <x:v>核心</x:v>
      </x:c>
      <x:c r="L223" s="31" t="str">
        <x:v>待确认</x:v>
      </x:c>
      <x:c r="M223" s="31" t="str">
        <x:v>参考所属系列前序模块</x:v>
      </x:c>
      <x:c r="N223" s="31" t="str"/>
    </x:row>
    <x:row r="224" ht="42" customHeight="1">
      <x:c r="A224" s="31" t="str">
        <x:v>Z8.01</x:v>
      </x:c>
      <x:c r="B224" s="31" t="str">
        <x:v>Z</x:v>
      </x:c>
      <x:c r="C224" s="31" t="str">
        <x:v>Z8</x:v>
      </x:c>
      <x:c r="D224" s="31" t="str">
        <x:v>完整程序仿真、测试与工程闭环</x:v>
      </x:c>
      <x:c r="E224" s="31" t="str">
        <x:v>数学单元、算法模块、控制器闭环、系统级与实机分层验证体系建立</x:v>
      </x:c>
      <x:c r="F224" s="31" t="str">
        <x:v>A｜建议你主讲</x:v>
      </x:c>
      <x:c r="G224" s="31" t="str">
        <x:v>你主讲</x:v>
      </x:c>
      <x:c r="H224" s="31" t="str">
        <x:v>依赖真实项目决策、波形判断或完整调试经验，适合由课程负责人讲清工程取舍。</x:v>
      </x:c>
      <x:c r="I224" s="31" t="str">
        <x:v>原理讲解＋工程案例＋检查题</x:v>
      </x:c>
      <x:c r="J224" s="31" t="str">
        <x:v>讲稿、课件、示例、作业与答案</x:v>
      </x:c>
      <x:c r="K224" s="31" t="str">
        <x:v>核心</x:v>
      </x:c>
      <x:c r="L224" s="31" t="str">
        <x:v>待确认</x:v>
      </x:c>
      <x:c r="M224" s="31" t="str">
        <x:v>参考所属系列前序模块</x:v>
      </x:c>
      <x:c r="N224" s="31" t="str"/>
    </x:row>
    <x:row r="225" ht="42" customHeight="1">
      <x:c r="A225" s="31" t="str">
        <x:v>Z8.02</x:v>
      </x:c>
      <x:c r="B225" s="31" t="str">
        <x:v>Z</x:v>
      </x:c>
      <x:c r="C225" s="31" t="str">
        <x:v>Z8</x:v>
      </x:c>
      <x:c r="D225" s="31" t="str">
        <x:v>完整程序仿真、测试与工程闭环</x:v>
      </x:c>
      <x:c r="E225" s="31" t="str">
        <x:v>PMSM、电机机械负载、逆变器与传感器基础模型搭建</x:v>
      </x:c>
      <x:c r="F225" s="31" t="str">
        <x:v>A｜建议你主讲</x:v>
      </x:c>
      <x:c r="G225" s="31" t="str">
        <x:v>你主讲</x:v>
      </x:c>
      <x:c r="H225" s="31" t="str">
        <x:v>依赖真实项目决策、波形判断或完整调试经验，适合由课程负责人讲清工程取舍。</x:v>
      </x:c>
      <x:c r="I225" s="31" t="str">
        <x:v>原理＋模型＋对比验证</x:v>
      </x:c>
      <x:c r="J225" s="31" t="str">
        <x:v>讲稿、模型、参数说明、对比结果</x:v>
      </x:c>
      <x:c r="K225" s="31" t="str">
        <x:v>核心</x:v>
      </x:c>
      <x:c r="L225" s="31" t="str">
        <x:v>待确认</x:v>
      </x:c>
      <x:c r="M225" s="31" t="str">
        <x:v>参考所属系列前序模块</x:v>
      </x:c>
      <x:c r="N225" s="31" t="str"/>
    </x:row>
    <x:row r="226" ht="42" customHeight="1">
      <x:c r="A226" s="31" t="str">
        <x:v>Z8.03</x:v>
      </x:c>
      <x:c r="B226" s="31" t="str">
        <x:v>Z</x:v>
      </x:c>
      <x:c r="C226" s="31" t="str">
        <x:v>Z8</x:v>
      </x:c>
      <x:c r="D226" s="31" t="str">
        <x:v>完整程序仿真、测试与工程闭环</x:v>
      </x:c>
      <x:c r="E226" s="31" t="str">
        <x:v>连续 Plant、离散控制器、求解步长与真实控制周期统一</x:v>
      </x:c>
      <x:c r="F226" s="31" t="str">
        <x:v>A｜建议你主讲</x:v>
      </x:c>
      <x:c r="G226" s="31" t="str">
        <x:v>你主讲</x:v>
      </x:c>
      <x:c r="H226" s="31" t="str">
        <x:v>依赖真实项目决策、波形判断或完整调试经验，适合由课程负责人讲清工程取舍。</x:v>
      </x:c>
      <x:c r="I226" s="31" t="str">
        <x:v>原理讲解＋工程案例＋检查题</x:v>
      </x:c>
      <x:c r="J226" s="31" t="str">
        <x:v>讲稿、课件、示例、作业与答案</x:v>
      </x:c>
      <x:c r="K226" s="31" t="str">
        <x:v>核心</x:v>
      </x:c>
      <x:c r="L226" s="31" t="str">
        <x:v>待确认</x:v>
      </x:c>
      <x:c r="M226" s="31" t="str">
        <x:v>参考所属系列前序模块</x:v>
      </x:c>
      <x:c r="N226" s="31" t="str"/>
    </x:row>
    <x:row r="227" ht="42" customHeight="1">
      <x:c r="A227" s="31" t="str">
        <x:v>Z8.04</x:v>
      </x:c>
      <x:c r="B227" s="31" t="str">
        <x:v>Z</x:v>
      </x:c>
      <x:c r="C227" s="31" t="str">
        <x:v>Z8</x:v>
      </x:c>
      <x:c r="D227" s="31" t="str">
        <x:v>完整程序仿真、测试与工程闭环</x:v>
      </x:c>
      <x:c r="E227" s="31" t="str">
        <x:v>Deadtime、器件压降、采样、量化、噪声、饱和与控制延迟建模</x:v>
      </x:c>
      <x:c r="F227" s="31" t="str">
        <x:v>A｜建议你主讲</x:v>
      </x:c>
      <x:c r="G227" s="31" t="str">
        <x:v>你主讲</x:v>
      </x:c>
      <x:c r="H227" s="31" t="str">
        <x:v>依赖真实项目决策、波形判断或完整调试经验，适合由课程负责人讲清工程取舍。</x:v>
      </x:c>
      <x:c r="I227" s="31" t="str">
        <x:v>原理讲解＋工程案例＋检查题</x:v>
      </x:c>
      <x:c r="J227" s="31" t="str">
        <x:v>讲稿、课件、示例、作业与答案</x:v>
      </x:c>
      <x:c r="K227" s="31" t="str">
        <x:v>核心</x:v>
      </x:c>
      <x:c r="L227" s="31" t="str">
        <x:v>待确认</x:v>
      </x:c>
      <x:c r="M227" s="31" t="str">
        <x:v>参考所属系列前序模块</x:v>
      </x:c>
      <x:c r="N227" s="31" t="str"/>
    </x:row>
    <x:row r="228" ht="42" customHeight="1">
      <x:c r="A228" s="31" t="str">
        <x:v>Z8.05</x:v>
      </x:c>
      <x:c r="B228" s="31" t="str">
        <x:v>Z</x:v>
      </x:c>
      <x:c r="C228" s="31" t="str">
        <x:v>Z8</x:v>
      </x:c>
      <x:c r="D228" s="31" t="str">
        <x:v>完整程序仿真、测试与工程闭环</x:v>
      </x:c>
      <x:c r="E228" s="31" t="str">
        <x:v>Clarke/Park、PI、滤波、SVPWM 与 Observer 单元测试建立</x:v>
      </x:c>
      <x:c r="F228" s="31" t="str">
        <x:v>A｜建议你主讲</x:v>
      </x:c>
      <x:c r="G228" s="31" t="str">
        <x:v>你主讲</x:v>
      </x:c>
      <x:c r="H228" s="31" t="str">
        <x:v>依赖真实项目决策、波形判断或完整调试经验，适合由课程负责人讲清工程取舍。</x:v>
      </x:c>
      <x:c r="I228" s="31" t="str">
        <x:v>方法讲解＋实测数据＋问题复盘</x:v>
      </x:c>
      <x:c r="J228" s="31" t="str">
        <x:v>讲稿、实验步骤、原始数据、处理脚本、结果说明</x:v>
      </x:c>
      <x:c r="K228" s="31" t="str">
        <x:v>核心</x:v>
      </x:c>
      <x:c r="L228" s="31" t="str">
        <x:v>待确认</x:v>
      </x:c>
      <x:c r="M228" s="31" t="str">
        <x:v>参考所属系列前序模块</x:v>
      </x:c>
      <x:c r="N228" s="31" t="str"/>
    </x:row>
    <x:row r="229" ht="42" customHeight="1">
      <x:c r="A229" s="31" t="str">
        <x:v>Z8.06</x:v>
      </x:c>
      <x:c r="B229" s="31" t="str">
        <x:v>Z</x:v>
      </x:c>
      <x:c r="C229" s="31" t="str">
        <x:v>Z8</x:v>
      </x:c>
      <x:c r="D229" s="31" t="str">
        <x:v>完整程序仿真、测试与工程闭环</x:v>
      </x:c>
      <x:c r="E229" s="31" t="str">
        <x:v>实际控制 C 代码的电脑端编译、模拟输入与测试数据接入</x:v>
      </x:c>
      <x:c r="F229" s="31" t="str">
        <x:v>A｜建议你主讲</x:v>
      </x:c>
      <x:c r="G229" s="31" t="str">
        <x:v>你主讲</x:v>
      </x:c>
      <x:c r="H229" s="31" t="str">
        <x:v>依赖真实项目决策、波形判断或完整调试经验，适合由课程负责人讲清工程取舍。</x:v>
      </x:c>
      <x:c r="I229" s="31" t="str">
        <x:v>方法讲解＋实测数据＋问题复盘</x:v>
      </x:c>
      <x:c r="J229" s="31" t="str">
        <x:v>讲稿、实验步骤、原始数据、处理脚本、结果说明</x:v>
      </x:c>
      <x:c r="K229" s="31" t="str">
        <x:v>核心</x:v>
      </x:c>
      <x:c r="L229" s="31" t="str">
        <x:v>待确认</x:v>
      </x:c>
      <x:c r="M229" s="31" t="str">
        <x:v>参考所属系列前序模块</x:v>
      </x:c>
      <x:c r="N229" s="31" t="str"/>
    </x:row>
    <x:row r="230" ht="42" customHeight="1">
      <x:c r="A230" s="31" t="str">
        <x:v>Z8.07</x:v>
      </x:c>
      <x:c r="B230" s="31" t="str">
        <x:v>Z</x:v>
      </x:c>
      <x:c r="C230" s="31" t="str">
        <x:v>Z8</x:v>
      </x:c>
      <x:c r="D230" s="31" t="str">
        <x:v>完整程序仿真、测试与工程闭环</x:v>
      </x:c>
      <x:c r="E230" s="31" t="str">
        <x:v>Virtual BSP、数据 Replay 与 C-SIL 闭环环境搭建</x:v>
      </x:c>
      <x:c r="F230" s="31" t="str">
        <x:v>C｜专项老师主讲，你负责衔接与验收</x:v>
      </x:c>
      <x:c r="G230" s="31" t="str">
        <x:v>专项老师主讲，你负责课程衔接与验收</x:v>
      </x:c>
      <x:c r="H230" s="31" t="str">
        <x:v>需要较强的专项设计或产品化经验，建议由对应专家主讲，课程负责人负责与主线衔接。</x:v>
      </x:c>
      <x:c r="I230" s="31" t="str">
        <x:v>原理＋模型＋对比验证</x:v>
      </x:c>
      <x:c r="J230" s="31" t="str">
        <x:v>讲稿、模型、参数说明、对比结果</x:v>
      </x:c>
      <x:c r="K230" s="31" t="str">
        <x:v>核心</x:v>
      </x:c>
      <x:c r="L230" s="31" t="str">
        <x:v>待确认</x:v>
      </x:c>
      <x:c r="M230" s="31" t="str">
        <x:v>参考所属系列前序模块</x:v>
      </x:c>
      <x:c r="N230" s="31" t="str"/>
    </x:row>
    <x:row r="231" ht="42" customHeight="1">
      <x:c r="A231" s="31" t="str">
        <x:v>Z8.08</x:v>
      </x:c>
      <x:c r="B231" s="31" t="str">
        <x:v>Z</x:v>
      </x:c>
      <x:c r="C231" s="31" t="str">
        <x:v>Z8</x:v>
      </x:c>
      <x:c r="D231" s="31" t="str">
        <x:v>完整程序仿真、测试与工程闭环</x:v>
      </x:c>
      <x:c r="E231" s="31" t="str">
        <x:v>Simulink Plant 与生产控制代码联合仿真验证</x:v>
      </x:c>
      <x:c r="F231" s="31" t="str">
        <x:v>A｜建议你主讲</x:v>
      </x:c>
      <x:c r="G231" s="31" t="str">
        <x:v>你主讲</x:v>
      </x:c>
      <x:c r="H231" s="31" t="str">
        <x:v>依赖真实项目决策、波形判断或完整调试经验，适合由课程负责人讲清工程取舍。</x:v>
      </x:c>
      <x:c r="I231" s="31" t="str">
        <x:v>原理＋代码演示＋最小练习</x:v>
      </x:c>
      <x:c r="J231" s="31" t="str">
        <x:v>讲稿、可运行代码、配置说明、最小测试</x:v>
      </x:c>
      <x:c r="K231" s="31" t="str">
        <x:v>核心</x:v>
      </x:c>
      <x:c r="L231" s="31" t="str">
        <x:v>待确认</x:v>
      </x:c>
      <x:c r="M231" s="31" t="str">
        <x:v>参考所属系列前序模块</x:v>
      </x:c>
      <x:c r="N231" s="31" t="str"/>
    </x:row>
    <x:row r="232" ht="42" customHeight="1">
      <x:c r="A232" s="31" t="str">
        <x:v>Z8.09</x:v>
      </x:c>
      <x:c r="B232" s="31" t="str">
        <x:v>Z</x:v>
      </x:c>
      <x:c r="C232" s="31" t="str">
        <x:v>Z8</x:v>
      </x:c>
      <x:c r="D232" s="31" t="str">
        <x:v>完整程序仿真、测试与工程闭环</x:v>
      </x:c>
      <x:c r="E232" s="31" t="str">
        <x:v>电流、速度、位置、启动、切换、故障与无感标准 Test ID 建立</x:v>
      </x:c>
      <x:c r="F232" s="31" t="str">
        <x:v>B｜你主讲，专项老师补充</x:v>
      </x:c>
      <x:c r="G232" s="31" t="str">
        <x:v>你主讲，专项老师补充</x:v>
      </x:c>
      <x:c r="H232" s="31" t="str">
        <x:v>属于核心专项，课程负责人控制主线，再由有实机经验的老师补充算法细节和适用边界。</x:v>
      </x:c>
      <x:c r="I232" s="31" t="str">
        <x:v>方法讲解＋实测数据＋问题复盘</x:v>
      </x:c>
      <x:c r="J232" s="31" t="str">
        <x:v>讲稿、课件、示例、作业与答案</x:v>
      </x:c>
      <x:c r="K232" s="31" t="str">
        <x:v>核心</x:v>
      </x:c>
      <x:c r="L232" s="31" t="str">
        <x:v>待确认</x:v>
      </x:c>
      <x:c r="M232" s="31" t="str">
        <x:v>参考所属系列前序模块</x:v>
      </x:c>
      <x:c r="N232" s="31" t="str"/>
    </x:row>
    <x:row r="233" ht="42" customHeight="1">
      <x:c r="A233" s="31" t="str">
        <x:v>Z8.10</x:v>
      </x:c>
      <x:c r="B233" s="31" t="str">
        <x:v>Z</x:v>
      </x:c>
      <x:c r="C233" s="31" t="str">
        <x:v>Z8</x:v>
      </x:c>
      <x:c r="D233" s="31" t="str">
        <x:v>完整程序仿真、测试与工程闭环</x:v>
      </x:c>
      <x:c r="E233" s="31" t="str">
        <x:v>上升时间、超调、稳态误差、RMS、饱和时间与启动成功率计算</x:v>
      </x:c>
      <x:c r="F233" s="31" t="str">
        <x:v>A｜建议你主讲</x:v>
      </x:c>
      <x:c r="G233" s="31" t="str">
        <x:v>你主讲</x:v>
      </x:c>
      <x:c r="H233" s="31" t="str">
        <x:v>依赖真实项目决策、波形判断或完整调试经验，适合由课程负责人讲清工程取舍。</x:v>
      </x:c>
      <x:c r="I233" s="31" t="str">
        <x:v>原理讲解＋工程案例＋检查题</x:v>
      </x:c>
      <x:c r="J233" s="31" t="str">
        <x:v>讲稿、课件、示例、作业与答案</x:v>
      </x:c>
      <x:c r="K233" s="31" t="str">
        <x:v>核心</x:v>
      </x:c>
      <x:c r="L233" s="31" t="str">
        <x:v>待确认</x:v>
      </x:c>
      <x:c r="M233" s="31" t="str">
        <x:v>参考所属系列前序模块</x:v>
      </x:c>
      <x:c r="N233" s="31" t="str"/>
    </x:row>
    <x:row r="234" ht="42" customHeight="1">
      <x:c r="A234" s="31" t="str">
        <x:v>Z8.11</x:v>
      </x:c>
      <x:c r="B234" s="31" t="str">
        <x:v>Z</x:v>
      </x:c>
      <x:c r="C234" s="31" t="str">
        <x:v>Z8</x:v>
      </x:c>
      <x:c r="D234" s="31" t="str">
        <x:v>完整程序仿真、测试与工程闭环</x:v>
      </x:c>
      <x:c r="E234" s="31" t="str">
        <x:v>参数偏差、母线变化、负载扰动、传感器异常与故障注入测试</x:v>
      </x:c>
      <x:c r="F234" s="31" t="str">
        <x:v>A｜建议你主讲</x:v>
      </x:c>
      <x:c r="G234" s="31" t="str">
        <x:v>你主讲</x:v>
      </x:c>
      <x:c r="H234" s="31" t="str">
        <x:v>依赖真实项目决策、波形判断或完整调试经验，适合由课程负责人讲清工程取舍。</x:v>
      </x:c>
      <x:c r="I234" s="31" t="str">
        <x:v>方法讲解＋实测数据＋问题复盘</x:v>
      </x:c>
      <x:c r="J234" s="31" t="str">
        <x:v>讲稿、实验步骤、原始数据、处理脚本、结果说明</x:v>
      </x:c>
      <x:c r="K234" s="31" t="str">
        <x:v>核心</x:v>
      </x:c>
      <x:c r="L234" s="31" t="str">
        <x:v>待确认</x:v>
      </x:c>
      <x:c r="M234" s="31" t="str">
        <x:v>参考所属系列前序模块</x:v>
      </x:c>
      <x:c r="N234" s="31" t="str"/>
    </x:row>
    <x:row r="235" ht="42" customHeight="1">
      <x:c r="A235" s="31" t="str">
        <x:v>Z8.12</x:v>
      </x:c>
      <x:c r="B235" s="31" t="str">
        <x:v>Z</x:v>
      </x:c>
      <x:c r="C235" s="31" t="str">
        <x:v>Z8</x:v>
      </x:c>
      <x:c r="D235" s="31" t="str">
        <x:v>完整程序仿真、测试与工程闭环</x:v>
      </x:c>
      <x:c r="E235" s="31" t="str">
        <x:v>仿真与实物参数、采样、时序、波形和性能结果一致性对比</x:v>
      </x:c>
      <x:c r="F235" s="31" t="str">
        <x:v>A｜建议你主讲</x:v>
      </x:c>
      <x:c r="G235" s="31" t="str">
        <x:v>你主讲</x:v>
      </x:c>
      <x:c r="H235" s="31" t="str">
        <x:v>依赖真实项目决策、波形判断或完整调试经验，适合由课程负责人讲清工程取舍。</x:v>
      </x:c>
      <x:c r="I235" s="31" t="str">
        <x:v>方法讲解＋实测数据＋问题复盘</x:v>
      </x:c>
      <x:c r="J235" s="31" t="str">
        <x:v>讲稿、模型、参数说明、对比结果</x:v>
      </x:c>
      <x:c r="K235" s="31" t="str">
        <x:v>核心</x:v>
      </x:c>
      <x:c r="L235" s="31" t="str">
        <x:v>待确认</x:v>
      </x:c>
      <x:c r="M235" s="31" t="str">
        <x:v>参考所属系列前序模块</x:v>
      </x:c>
      <x:c r="N235" s="31" t="str"/>
    </x:row>
    <x:row r="236" ht="42" customHeight="1">
      <x:c r="A236" s="31" t="str">
        <x:v>Z8.13</x:v>
      </x:c>
      <x:c r="B236" s="31" t="str">
        <x:v>Z</x:v>
      </x:c>
      <x:c r="C236" s="31" t="str">
        <x:v>Z8</x:v>
      </x:c>
      <x:c r="D236" s="31" t="str">
        <x:v>完整程序仿真、测试与工程闭环</x:v>
      </x:c>
      <x:c r="E236" s="31" t="str">
        <x:v>代码修改后的自动回归、版本管理、问题重现与稳定基线恢复</x:v>
      </x:c>
      <x:c r="F236" s="31" t="str">
        <x:v>A｜建议你主讲</x:v>
      </x:c>
      <x:c r="G236" s="31" t="str">
        <x:v>你主讲</x:v>
      </x:c>
      <x:c r="H236" s="31" t="str">
        <x:v>依赖真实项目决策、波形判断或完整调试经验，适合由课程负责人讲清工程取舍。</x:v>
      </x:c>
      <x:c r="I236" s="31" t="str">
        <x:v>原理＋代码演示＋最小练习</x:v>
      </x:c>
      <x:c r="J236" s="31" t="str">
        <x:v>讲稿、可运行代码、配置说明、最小测试</x:v>
      </x:c>
      <x:c r="K236" s="31" t="str">
        <x:v>核心</x:v>
      </x:c>
      <x:c r="L236" s="31" t="str">
        <x:v>待确认</x:v>
      </x:c>
      <x:c r="M236" s="31" t="str">
        <x:v>参考所属系列前序模块</x:v>
      </x:c>
      <x:c r="N236" s="31" t="str"/>
    </x:row>
    <x:row r="237" ht="42" customHeight="1">
      <x:c r="A237" s="31" t="str">
        <x:v>Z8.14</x:v>
      </x:c>
      <x:c r="B237" s="31" t="str">
        <x:v>Z</x:v>
      </x:c>
      <x:c r="C237" s="31" t="str">
        <x:v>Z8</x:v>
      </x:c>
      <x:c r="D237" s="31" t="str">
        <x:v>完整程序仿真、测试与工程闭环</x:v>
      </x:c>
      <x:c r="E237" s="31" t="str">
        <x:v>Firmware、Config、Calibration、测试报告与 Release Tag 发布</x:v>
      </x:c>
      <x:c r="F237" s="31" t="str">
        <x:v>A｜建议你主讲</x:v>
      </x:c>
      <x:c r="G237" s="31" t="str">
        <x:v>你主讲</x:v>
      </x:c>
      <x:c r="H237" s="31" t="str">
        <x:v>依赖真实项目决策、波形判断或完整调试经验，适合由课程负责人讲清工程取舍。</x:v>
      </x:c>
      <x:c r="I237" s="31" t="str">
        <x:v>方法讲解＋实测数据＋问题复盘</x:v>
      </x:c>
      <x:c r="J237" s="31" t="str">
        <x:v>讲稿、实验步骤、原始数据、处理脚本、结果说明</x:v>
      </x:c>
      <x:c r="K237" s="31" t="str">
        <x:v>核心</x:v>
      </x:c>
      <x:c r="L237" s="31" t="str">
        <x:v>待确认</x:v>
      </x:c>
      <x:c r="M237" s="31" t="str">
        <x:v>参考所属系列前序模块</x:v>
      </x:c>
      <x:c r="N237" s="31" t="str"/>
    </x:row>
    <x:row r="238" ht="42" customHeight="1">
      <x:c r="A238" s="31" t="str">
        <x:v>M0.01</x:v>
      </x:c>
      <x:c r="B238" s="31" t="str">
        <x:v>M</x:v>
      </x:c>
      <x:c r="C238" s="31" t="str">
        <x:v>M0</x:v>
      </x:c>
      <x:c r="D238" s="31" t="str">
        <x:v>电控系统测试、频率响应与性能评价</x:v>
      </x:c>
      <x:c r="E238" s="31" t="str">
        <x:v>测试对象、输入、输出、工况与测试目标定义</x:v>
      </x:c>
      <x:c r="F238" s="31" t="str">
        <x:v>A｜建议你主讲</x:v>
      </x:c>
      <x:c r="G238" s="31" t="str">
        <x:v>你主讲</x:v>
      </x:c>
      <x:c r="H238" s="31" t="str">
        <x:v>依赖真实项目决策、波形判断或完整调试经验，适合由课程负责人讲清工程取舍。</x:v>
      </x:c>
      <x:c r="I238" s="31" t="str">
        <x:v>方法讲解＋实测数据＋问题复盘</x:v>
      </x:c>
      <x:c r="J238" s="31" t="str">
        <x:v>讲稿、实验步骤、原始数据、处理脚本、结果说明</x:v>
      </x:c>
      <x:c r="K238" s="31" t="str">
        <x:v>核心</x:v>
      </x:c>
      <x:c r="L238" s="31" t="str">
        <x:v>待确认</x:v>
      </x:c>
      <x:c r="M238" s="31" t="str">
        <x:v>无</x:v>
      </x:c>
      <x:c r="N238" s="31" t="str"/>
    </x:row>
    <x:row r="239" ht="42" customHeight="1">
      <x:c r="A239" s="31" t="str">
        <x:v>M0.02</x:v>
      </x:c>
      <x:c r="B239" s="31" t="str">
        <x:v>M</x:v>
      </x:c>
      <x:c r="C239" s="31" t="str">
        <x:v>M0</x:v>
      </x:c>
      <x:c r="D239" s="31" t="str">
        <x:v>电控系统测试、频率响应与性能评价</x:v>
      </x:c>
      <x:c r="E239" s="31" t="str">
        <x:v>采样率、时间戳、同步、量程与数据有效性检查</x:v>
      </x:c>
      <x:c r="F239" s="31" t="str">
        <x:v>A｜建议你主讲</x:v>
      </x:c>
      <x:c r="G239" s="31" t="str">
        <x:v>你主讲</x:v>
      </x:c>
      <x:c r="H239" s="31" t="str">
        <x:v>依赖真实项目决策、波形判断或完整调试经验，适合由课程负责人讲清工程取舍。</x:v>
      </x:c>
      <x:c r="I239" s="31" t="str">
        <x:v>原理讲解＋工程案例＋检查题</x:v>
      </x:c>
      <x:c r="J239" s="31" t="str">
        <x:v>讲稿、课件、示例、作业与答案</x:v>
      </x:c>
      <x:c r="K239" s="31" t="str">
        <x:v>核心</x:v>
      </x:c>
      <x:c r="L239" s="31" t="str">
        <x:v>待确认</x:v>
      </x:c>
      <x:c r="M239" s="31" t="str">
        <x:v>无</x:v>
      </x:c>
      <x:c r="N239" s="31" t="str"/>
    </x:row>
    <x:row r="240" ht="42" customHeight="1">
      <x:c r="A240" s="31" t="str">
        <x:v>M0.03</x:v>
      </x:c>
      <x:c r="B240" s="31" t="str">
        <x:v>M</x:v>
      </x:c>
      <x:c r="C240" s="31" t="str">
        <x:v>M0</x:v>
      </x:c>
      <x:c r="D240" s="31" t="str">
        <x:v>电控系统测试、频率响应与性能评价</x:v>
      </x:c>
      <x:c r="E240" s="31" t="str">
        <x:v>电流、力矩、速度与位置标准时域测试设计</x:v>
      </x:c>
      <x:c r="F240" s="31" t="str">
        <x:v>A｜建议你主讲</x:v>
      </x:c>
      <x:c r="G240" s="31" t="str">
        <x:v>你主讲</x:v>
      </x:c>
      <x:c r="H240" s="31" t="str">
        <x:v>依赖真实项目决策、波形判断或完整调试经验，适合由课程负责人讲清工程取舍。</x:v>
      </x:c>
      <x:c r="I240" s="31" t="str">
        <x:v>方法讲解＋实测数据＋问题复盘</x:v>
      </x:c>
      <x:c r="J240" s="31" t="str">
        <x:v>讲稿、实验步骤、原始数据、处理脚本、结果说明</x:v>
      </x:c>
      <x:c r="K240" s="31" t="str">
        <x:v>核心</x:v>
      </x:c>
      <x:c r="L240" s="31" t="str">
        <x:v>待确认</x:v>
      </x:c>
      <x:c r="M240" s="31" t="str">
        <x:v>无</x:v>
      </x:c>
      <x:c r="N240" s="31" t="str"/>
    </x:row>
    <x:row r="241" ht="42" customHeight="1">
      <x:c r="A241" s="31" t="str">
        <x:v>M0.04</x:v>
      </x:c>
      <x:c r="B241" s="31" t="str">
        <x:v>M</x:v>
      </x:c>
      <x:c r="C241" s="31" t="str">
        <x:v>M0</x:v>
      </x:c>
      <x:c r="D241" s="31" t="str">
        <x:v>电控系统测试、频率响应与性能评价</x:v>
      </x:c>
      <x:c r="E241" s="31" t="str">
        <x:v>上升时间、超调、调节时间、稳态误差与 RMS 自动计算</x:v>
      </x:c>
      <x:c r="F241" s="31" t="str">
        <x:v>A｜建议你主讲</x:v>
      </x:c>
      <x:c r="G241" s="31" t="str">
        <x:v>你主讲</x:v>
      </x:c>
      <x:c r="H241" s="31" t="str">
        <x:v>依赖真实项目决策、波形判断或完整调试经验，适合由课程负责人讲清工程取舍。</x:v>
      </x:c>
      <x:c r="I241" s="31" t="str">
        <x:v>原理讲解＋工程案例＋检查题</x:v>
      </x:c>
      <x:c r="J241" s="31" t="str">
        <x:v>讲稿、课件、示例、作业与答案</x:v>
      </x:c>
      <x:c r="K241" s="31" t="str">
        <x:v>核心</x:v>
      </x:c>
      <x:c r="L241" s="31" t="str">
        <x:v>待确认</x:v>
      </x:c>
      <x:c r="M241" s="31" t="str">
        <x:v>无</x:v>
      </x:c>
      <x:c r="N241" s="31" t="str"/>
    </x:row>
    <x:row r="242" ht="42" customHeight="1">
      <x:c r="A242" s="31" t="str">
        <x:v>M0.05</x:v>
      </x:c>
      <x:c r="B242" s="31" t="str">
        <x:v>M</x:v>
      </x:c>
      <x:c r="C242" s="31" t="str">
        <x:v>M0</x:v>
      </x:c>
      <x:c r="D242" s="31" t="str">
        <x:v>电控系统测试、频率响应与性能评价</x:v>
      </x:c>
      <x:c r="E242" s="31" t="str">
        <x:v>正弦扫频、Chirp、PRBS 激励与频率响应测量</x:v>
      </x:c>
      <x:c r="F242" s="31" t="str">
        <x:v>A｜建议你主讲</x:v>
      </x:c>
      <x:c r="G242" s="31" t="str">
        <x:v>你主讲</x:v>
      </x:c>
      <x:c r="H242" s="31" t="str">
        <x:v>依赖真实项目决策、波形判断或完整调试经验，适合由课程负责人讲清工程取舍。</x:v>
      </x:c>
      <x:c r="I242" s="31" t="str">
        <x:v>方法讲解＋实测数据＋问题复盘</x:v>
      </x:c>
      <x:c r="J242" s="31" t="str">
        <x:v>讲稿、实验步骤、原始数据、处理脚本、结果说明</x:v>
      </x:c>
      <x:c r="K242" s="31" t="str">
        <x:v>核心</x:v>
      </x:c>
      <x:c r="L242" s="31" t="str">
        <x:v>待确认</x:v>
      </x:c>
      <x:c r="M242" s="31" t="str">
        <x:v>无</x:v>
      </x:c>
      <x:c r="N242" s="31" t="str"/>
    </x:row>
    <x:row r="243" ht="42" customHeight="1">
      <x:c r="A243" s="31" t="str">
        <x:v>M0.06</x:v>
      </x:c>
      <x:c r="B243" s="31" t="str">
        <x:v>M</x:v>
      </x:c>
      <x:c r="C243" s="31" t="str">
        <x:v>M0</x:v>
      </x:c>
      <x:c r="D243" s="31" t="str">
        <x:v>电控系统测试、频率响应与性能评价</x:v>
      </x:c>
      <x:c r="E243" s="31" t="str">
        <x:v>闭环带宽、增益裕度、相位裕度与共振峰评价</x:v>
      </x:c>
      <x:c r="F243" s="31" t="str">
        <x:v>A｜建议你主讲</x:v>
      </x:c>
      <x:c r="G243" s="31" t="str">
        <x:v>你主讲</x:v>
      </x:c>
      <x:c r="H243" s="31" t="str">
        <x:v>依赖真实项目决策、波形判断或完整调试经验，适合由课程负责人讲清工程取舍。</x:v>
      </x:c>
      <x:c r="I243" s="31" t="str">
        <x:v>原理讲解＋工程案例＋检查题</x:v>
      </x:c>
      <x:c r="J243" s="31" t="str">
        <x:v>讲稿、课件、示例、作业与答案</x:v>
      </x:c>
      <x:c r="K243" s="31" t="str">
        <x:v>核心</x:v>
      </x:c>
      <x:c r="L243" s="31" t="str">
        <x:v>待确认</x:v>
      </x:c>
      <x:c r="M243" s="31" t="str">
        <x:v>无</x:v>
      </x:c>
      <x:c r="N243" s="31" t="str"/>
    </x:row>
    <x:row r="244" ht="42" customHeight="1">
      <x:c r="A244" s="31" t="str">
        <x:v>M0.07</x:v>
      </x:c>
      <x:c r="B244" s="31" t="str">
        <x:v>M</x:v>
      </x:c>
      <x:c r="C244" s="31" t="str">
        <x:v>M0</x:v>
      </x:c>
      <x:c r="D244" s="31" t="str">
        <x:v>电控系统测试、频率响应与性能评价</x:v>
      </x:c>
      <x:c r="E244" s="31" t="str">
        <x:v>FFT、PSD、阶次分析与噪声、纹波来源识别</x:v>
      </x:c>
      <x:c r="F244" s="31" t="str">
        <x:v>A｜建议你主讲</x:v>
      </x:c>
      <x:c r="G244" s="31" t="str">
        <x:v>你主讲</x:v>
      </x:c>
      <x:c r="H244" s="31" t="str">
        <x:v>依赖真实项目决策、波形判断或完整调试经验，适合由课程负责人讲清工程取舍。</x:v>
      </x:c>
      <x:c r="I244" s="31" t="str">
        <x:v>原理讲解＋工程案例＋检查题</x:v>
      </x:c>
      <x:c r="J244" s="31" t="str">
        <x:v>讲稿、课件、示例、作业与答案</x:v>
      </x:c>
      <x:c r="K244" s="31" t="str">
        <x:v>核心</x:v>
      </x:c>
      <x:c r="L244" s="31" t="str">
        <x:v>待确认</x:v>
      </x:c>
      <x:c r="M244" s="31" t="str">
        <x:v>无</x:v>
      </x:c>
      <x:c r="N244" s="31" t="str"/>
    </x:row>
    <x:row r="245" ht="42" customHeight="1">
      <x:c r="A245" s="31" t="str">
        <x:v>M0.08</x:v>
      </x:c>
      <x:c r="B245" s="31" t="str">
        <x:v>M</x:v>
      </x:c>
      <x:c r="C245" s="31" t="str">
        <x:v>M0</x:v>
      </x:c>
      <x:c r="D245" s="31" t="str">
        <x:v>电控系统测试、频率响应与性能评价</x:v>
      </x:c>
      <x:c r="E245" s="31" t="str">
        <x:v>采样、计算、PWM 生效延迟与控制性能量化</x:v>
      </x:c>
      <x:c r="F245" s="31" t="str">
        <x:v>A｜建议你主讲</x:v>
      </x:c>
      <x:c r="G245" s="31" t="str">
        <x:v>你主讲</x:v>
      </x:c>
      <x:c r="H245" s="31" t="str">
        <x:v>依赖真实项目决策、波形判断或完整调试经验，适合由课程负责人讲清工程取舍。</x:v>
      </x:c>
      <x:c r="I245" s="31" t="str">
        <x:v>原理讲解＋工程案例＋检查题</x:v>
      </x:c>
      <x:c r="J245" s="31" t="str">
        <x:v>讲稿、课件、示例、作业与答案</x:v>
      </x:c>
      <x:c r="K245" s="31" t="str">
        <x:v>核心</x:v>
      </x:c>
      <x:c r="L245" s="31" t="str">
        <x:v>待确认</x:v>
      </x:c>
      <x:c r="M245" s="31" t="str">
        <x:v>无</x:v>
      </x:c>
      <x:c r="N245" s="31" t="str"/>
    </x:row>
    <x:row r="246" ht="42" customHeight="1">
      <x:c r="A246" s="31" t="str">
        <x:v>M0.09</x:v>
      </x:c>
      <x:c r="B246" s="31" t="str">
        <x:v>M</x:v>
      </x:c>
      <x:c r="C246" s="31" t="str">
        <x:v>M0</x:v>
      </x:c>
      <x:c r="D246" s="31" t="str">
        <x:v>电控系统测试、频率响应与性能评价</x:v>
      </x:c>
      <x:c r="E246" s="31" t="str">
        <x:v>限幅、积分饱和、dq 耦合、死区与机械非线性影响</x:v>
      </x:c>
      <x:c r="F246" s="31" t="str">
        <x:v>A｜建议你主讲</x:v>
      </x:c>
      <x:c r="G246" s="31" t="str">
        <x:v>你主讲</x:v>
      </x:c>
      <x:c r="H246" s="31" t="str">
        <x:v>依赖真实项目决策、波形判断或完整调试经验，适合由课程负责人讲清工程取舍。</x:v>
      </x:c>
      <x:c r="I246" s="31" t="str">
        <x:v>原理讲解＋工程案例＋检查题</x:v>
      </x:c>
      <x:c r="J246" s="31" t="str">
        <x:v>讲稿、课件、示例、作业与答案</x:v>
      </x:c>
      <x:c r="K246" s="31" t="str">
        <x:v>核心</x:v>
      </x:c>
      <x:c r="L246" s="31" t="str">
        <x:v>待确认</x:v>
      </x:c>
      <x:c r="M246" s="31" t="str">
        <x:v>无</x:v>
      </x:c>
      <x:c r="N246" s="31" t="str"/>
    </x:row>
    <x:row r="247" ht="42" customHeight="1">
      <x:c r="A247" s="31" t="str">
        <x:v>M0.10</x:v>
      </x:c>
      <x:c r="B247" s="31" t="str">
        <x:v>M</x:v>
      </x:c>
      <x:c r="C247" s="31" t="str">
        <x:v>M0</x:v>
      </x:c>
      <x:c r="D247" s="31" t="str">
        <x:v>电控系统测试、频率响应与性能评价</x:v>
      </x:c>
      <x:c r="E247" s="31" t="str">
        <x:v>参数、母线、负载、温度、噪声与延迟鲁棒性测试</x:v>
      </x:c>
      <x:c r="F247" s="31" t="str">
        <x:v>A｜建议你主讲</x:v>
      </x:c>
      <x:c r="G247" s="31" t="str">
        <x:v>你主讲</x:v>
      </x:c>
      <x:c r="H247" s="31" t="str">
        <x:v>依赖真实项目决策、波形判断或完整调试经验，适合由课程负责人讲清工程取舍。</x:v>
      </x:c>
      <x:c r="I247" s="31" t="str">
        <x:v>方法讲解＋实测数据＋问题复盘</x:v>
      </x:c>
      <x:c r="J247" s="31" t="str">
        <x:v>讲稿、实验步骤、原始数据、处理脚本、结果说明</x:v>
      </x:c>
      <x:c r="K247" s="31" t="str">
        <x:v>核心</x:v>
      </x:c>
      <x:c r="L247" s="31" t="str">
        <x:v>待确认</x:v>
      </x:c>
      <x:c r="M247" s="31" t="str">
        <x:v>无</x:v>
      </x:c>
      <x:c r="N247" s="31" t="str"/>
    </x:row>
    <x:row r="248" ht="42" customHeight="1">
      <x:c r="A248" s="31" t="str">
        <x:v>M0.11</x:v>
      </x:c>
      <x:c r="B248" s="31" t="str">
        <x:v>M</x:v>
      </x:c>
      <x:c r="C248" s="31" t="str">
        <x:v>M0</x:v>
      </x:c>
      <x:c r="D248" s="31" t="str">
        <x:v>电控系统测试、频率响应与性能评价</x:v>
      </x:c>
      <x:c r="E248" s="31" t="str">
        <x:v>最大速度、最大负载与稳定工作范围搜索</x:v>
      </x:c>
      <x:c r="F248" s="31" t="str">
        <x:v>A｜建议你主讲</x:v>
      </x:c>
      <x:c r="G248" s="31" t="str">
        <x:v>你主讲</x:v>
      </x:c>
      <x:c r="H248" s="31" t="str">
        <x:v>依赖真实项目决策、波形判断或完整调试经验，适合由课程负责人讲清工程取舍。</x:v>
      </x:c>
      <x:c r="I248" s="31" t="str">
        <x:v>原理讲解＋工程案例＋检查题</x:v>
      </x:c>
      <x:c r="J248" s="31" t="str">
        <x:v>讲稿、课件、示例、作业与答案</x:v>
      </x:c>
      <x:c r="K248" s="31" t="str">
        <x:v>核心</x:v>
      </x:c>
      <x:c r="L248" s="31" t="str">
        <x:v>待确认</x:v>
      </x:c>
      <x:c r="M248" s="31" t="str">
        <x:v>无</x:v>
      </x:c>
      <x:c r="N248" s="31" t="str"/>
    </x:row>
    <x:row r="249" ht="42" customHeight="1">
      <x:c r="A249" s="31" t="str">
        <x:v>M0.12</x:v>
      </x:c>
      <x:c r="B249" s="31" t="str">
        <x:v>M</x:v>
      </x:c>
      <x:c r="C249" s="31" t="str">
        <x:v>M0</x:v>
      </x:c>
      <x:c r="D249" s="31" t="str">
        <x:v>电控系统测试、频率响应与性能评价</x:v>
      </x:c>
      <x:c r="E249" s="31" t="str">
        <x:v>性能基准、版本对比、Test ID 与自动报告建立</x:v>
      </x:c>
      <x:c r="F249" s="31" t="str">
        <x:v>A｜建议你主讲</x:v>
      </x:c>
      <x:c r="G249" s="31" t="str">
        <x:v>你主讲</x:v>
      </x:c>
      <x:c r="H249" s="31" t="str">
        <x:v>依赖真实项目决策、波形判断或完整调试经验，适合由课程负责人讲清工程取舍。</x:v>
      </x:c>
      <x:c r="I249" s="31" t="str">
        <x:v>原理讲解＋工程案例＋检查题</x:v>
      </x:c>
      <x:c r="J249" s="31" t="str">
        <x:v>讲稿、课件、示例、作业与答案</x:v>
      </x:c>
      <x:c r="K249" s="31" t="str">
        <x:v>核心</x:v>
      </x:c>
      <x:c r="L249" s="31" t="str">
        <x:v>待确认</x:v>
      </x:c>
      <x:c r="M249" s="31" t="str">
        <x:v>无</x:v>
      </x:c>
      <x:c r="N249" s="31" t="str"/>
    </x:row>
    <x:row r="250" ht="42" customHeight="1">
      <x:c r="A250" s="31" t="str">
        <x:v>M1.01</x:v>
      </x:c>
      <x:c r="B250" s="31" t="str">
        <x:v>M</x:v>
      </x:c>
      <x:c r="C250" s="31" t="str">
        <x:v>M1</x:v>
      </x:c>
      <x:c r="D250" s="31" t="str">
        <x:v>电机、机械与热参数辨识</x:v>
      </x:c>
      <x:c r="E250" s="31" t="str">
        <x:v>参数定义、相/线口径、单位、工作点与可辨识条件统一</x:v>
      </x:c>
      <x:c r="F250" s="31" t="str">
        <x:v>A｜建议你主讲</x:v>
      </x:c>
      <x:c r="G250" s="31" t="str">
        <x:v>你主讲</x:v>
      </x:c>
      <x:c r="H250" s="31" t="str">
        <x:v>依赖真实项目决策、波形判断或完整调试经验，适合由课程负责人讲清工程取舍。</x:v>
      </x:c>
      <x:c r="I250" s="31" t="str">
        <x:v>方法讲解＋实测数据＋问题复盘</x:v>
      </x:c>
      <x:c r="J250" s="31" t="str">
        <x:v>讲稿、实验步骤、原始数据、处理脚本、结果说明</x:v>
      </x:c>
      <x:c r="K250" s="31" t="str">
        <x:v>核心</x:v>
      </x:c>
      <x:c r="L250" s="31" t="str">
        <x:v>待确认</x:v>
      </x:c>
      <x:c r="M250" s="31" t="str">
        <x:v>参考所属系列前序模块</x:v>
      </x:c>
      <x:c r="N250" s="31" t="str"/>
    </x:row>
    <x:row r="251" ht="42" customHeight="1">
      <x:c r="A251" s="31" t="str">
        <x:v>M1.02</x:v>
      </x:c>
      <x:c r="B251" s="31" t="str">
        <x:v>M</x:v>
      </x:c>
      <x:c r="C251" s="31" t="str">
        <x:v>M1</x:v>
      </x:c>
      <x:c r="D251" s="31" t="str">
        <x:v>电机、机械与热参数辨识</x:v>
      </x:c>
      <x:c r="E251" s="31" t="str">
        <x:v>辨识激励、测量方法、数据区间与可信度评价设计</x:v>
      </x:c>
      <x:c r="F251" s="31" t="str">
        <x:v>A｜建议你主讲</x:v>
      </x:c>
      <x:c r="G251" s="31" t="str">
        <x:v>你主讲</x:v>
      </x:c>
      <x:c r="H251" s="31" t="str">
        <x:v>依赖真实项目决策、波形判断或完整调试经验，适合由课程负责人讲清工程取舍。</x:v>
      </x:c>
      <x:c r="I251" s="31" t="str">
        <x:v>方法讲解＋实测数据＋问题复盘</x:v>
      </x:c>
      <x:c r="J251" s="31" t="str">
        <x:v>讲稿、实验步骤、原始数据、处理脚本、结果说明</x:v>
      </x:c>
      <x:c r="K251" s="31" t="str">
        <x:v>核心</x:v>
      </x:c>
      <x:c r="L251" s="31" t="str">
        <x:v>待确认</x:v>
      </x:c>
      <x:c r="M251" s="31" t="str">
        <x:v>参考所属系列前序模块</x:v>
      </x:c>
      <x:c r="N251" s="31" t="str"/>
    </x:row>
    <x:row r="252" ht="42" customHeight="1">
      <x:c r="A252" s="31" t="str">
        <x:v>M1.03</x:v>
      </x:c>
      <x:c r="B252" s="31" t="str">
        <x:v>M</x:v>
      </x:c>
      <x:c r="C252" s="31" t="str">
        <x:v>M1</x:v>
      </x:c>
      <x:c r="D252" s="31" t="str">
        <x:v>电机、机械与热参数辨识</x:v>
      </x:c>
      <x:c r="E252" s="31" t="str">
        <x:v>Rs 四线测量、锁轴直流注入、温度与逆变器压降修正</x:v>
      </x:c>
      <x:c r="F252" s="31" t="str">
        <x:v>A｜建议你主讲</x:v>
      </x:c>
      <x:c r="G252" s="31" t="str">
        <x:v>你主讲</x:v>
      </x:c>
      <x:c r="H252" s="31" t="str">
        <x:v>依赖真实项目决策、波形判断或完整调试经验，适合由课程负责人讲清工程取舍。</x:v>
      </x:c>
      <x:c r="I252" s="31" t="str">
        <x:v>原理讲解＋工程案例＋检查题</x:v>
      </x:c>
      <x:c r="J252" s="31" t="str">
        <x:v>讲稿、课件、示例、作业与答案</x:v>
      </x:c>
      <x:c r="K252" s="31" t="str">
        <x:v>核心</x:v>
      </x:c>
      <x:c r="L252" s="31" t="str">
        <x:v>待确认</x:v>
      </x:c>
      <x:c r="M252" s="31" t="str">
        <x:v>参考所属系列前序模块</x:v>
      </x:c>
      <x:c r="N252" s="31" t="str"/>
    </x:row>
    <x:row r="253" ht="42" customHeight="1">
      <x:c r="A253" s="31" t="str">
        <x:v>M1.04</x:v>
      </x:c>
      <x:c r="B253" s="31" t="str">
        <x:v>M</x:v>
      </x:c>
      <x:c r="C253" s="31" t="str">
        <x:v>M1</x:v>
      </x:c>
      <x:c r="D253" s="31" t="str">
        <x:v>电机、机械与热参数辨识</x:v>
      </x:c>
      <x:c r="E253" s="31" t="str">
        <x:v>Ld/Lq 短脉冲斜率、正弦阻抗与阶跃 63.2% 方法</x:v>
      </x:c>
      <x:c r="F253" s="31" t="str">
        <x:v>A｜建议你主讲</x:v>
      </x:c>
      <x:c r="G253" s="31" t="str">
        <x:v>你主讲</x:v>
      </x:c>
      <x:c r="H253" s="31" t="str">
        <x:v>依赖真实项目决策、波形判断或完整调试经验，适合由课程负责人讲清工程取舍。</x:v>
      </x:c>
      <x:c r="I253" s="31" t="str">
        <x:v>原理讲解＋工程案例＋检查题</x:v>
      </x:c>
      <x:c r="J253" s="31" t="str">
        <x:v>讲稿、课件、示例、作业与答案</x:v>
      </x:c>
      <x:c r="K253" s="31" t="str">
        <x:v>核心</x:v>
      </x:c>
      <x:c r="L253" s="31" t="str">
        <x:v>待确认</x:v>
      </x:c>
      <x:c r="M253" s="31" t="str">
        <x:v>参考所属系列前序模块</x:v>
      </x:c>
      <x:c r="N253" s="31" t="str"/>
    </x:row>
    <x:row r="254" ht="42" customHeight="1">
      <x:c r="A254" s="31" t="str">
        <x:v>M1.05</x:v>
      </x:c>
      <x:c r="B254" s="31" t="str">
        <x:v>M</x:v>
      </x:c>
      <x:c r="C254" s="31" t="str">
        <x:v>M1</x:v>
      </x:c>
      <x:c r="D254" s="31" t="str">
        <x:v>电机、机械与热参数辨识</x:v>
      </x:c>
      <x:c r="E254" s="31" t="str">
        <x:v>电流、转子位置、饱和与交叉饱和下的电感变化</x:v>
      </x:c>
      <x:c r="F254" s="31" t="str">
        <x:v>A｜建议你主讲</x:v>
      </x:c>
      <x:c r="G254" s="31" t="str">
        <x:v>你主讲</x:v>
      </x:c>
      <x:c r="H254" s="31" t="str">
        <x:v>依赖真实项目决策、波形判断或完整调试经验，适合由课程负责人讲清工程取舍。</x:v>
      </x:c>
      <x:c r="I254" s="31" t="str">
        <x:v>原理讲解＋工程案例＋检查题</x:v>
      </x:c>
      <x:c r="J254" s="31" t="str">
        <x:v>讲稿、课件、示例、作业与答案</x:v>
      </x:c>
      <x:c r="K254" s="31" t="str">
        <x:v>核心</x:v>
      </x:c>
      <x:c r="L254" s="31" t="str">
        <x:v>待确认</x:v>
      </x:c>
      <x:c r="M254" s="31" t="str">
        <x:v>参考所属系列前序模块</x:v>
      </x:c>
      <x:c r="N254" s="31" t="str"/>
    </x:row>
    <x:row r="255" ht="42" customHeight="1">
      <x:c r="A255" s="31" t="str">
        <x:v>M1.06</x:v>
      </x:c>
      <x:c r="B255" s="31" t="str">
        <x:v>M</x:v>
      </x:c>
      <x:c r="C255" s="31" t="str">
        <x:v>M1</x:v>
      </x:c>
      <x:c r="D255" s="31" t="str">
        <x:v>电机、机械与热参数辨识</x:v>
      </x:c>
      <x:c r="E255" s="31" t="str">
        <x:v>永磁磁链、Ke、Kt 与实际力矩联合标定</x:v>
      </x:c>
      <x:c r="F255" s="31" t="str">
        <x:v>A｜建议你主讲</x:v>
      </x:c>
      <x:c r="G255" s="31" t="str">
        <x:v>你主讲</x:v>
      </x:c>
      <x:c r="H255" s="31" t="str">
        <x:v>依赖真实项目决策、波形判断或完整调试经验，适合由课程负责人讲清工程取舍。</x:v>
      </x:c>
      <x:c r="I255" s="31" t="str">
        <x:v>方法讲解＋实测数据＋问题复盘</x:v>
      </x:c>
      <x:c r="J255" s="31" t="str">
        <x:v>讲稿、实验步骤、原始数据、处理脚本、结果说明</x:v>
      </x:c>
      <x:c r="K255" s="31" t="str">
        <x:v>核心</x:v>
      </x:c>
      <x:c r="L255" s="31" t="str">
        <x:v>待确认</x:v>
      </x:c>
      <x:c r="M255" s="31" t="str">
        <x:v>参考所属系列前序模块</x:v>
      </x:c>
      <x:c r="N255" s="31" t="str"/>
    </x:row>
    <x:row r="256" ht="42" customHeight="1">
      <x:c r="A256" s="31" t="str">
        <x:v>M1.07</x:v>
      </x:c>
      <x:c r="B256" s="31" t="str">
        <x:v>M</x:v>
      </x:c>
      <x:c r="C256" s="31" t="str">
        <x:v>M1</x:v>
      </x:c>
      <x:c r="D256" s="31" t="str">
        <x:v>电机、机械与热参数辨识</x:v>
      </x:c>
      <x:c r="E256" s="31" t="str">
        <x:v>J、粘性摩擦、库仑摩擦、静摩擦与负载转矩辨识</x:v>
      </x:c>
      <x:c r="F256" s="31" t="str">
        <x:v>A｜建议你主讲</x:v>
      </x:c>
      <x:c r="G256" s="31" t="str">
        <x:v>你主讲</x:v>
      </x:c>
      <x:c r="H256" s="31" t="str">
        <x:v>依赖真实项目决策、波形判断或完整调试经验，适合由课程负责人讲清工程取舍。</x:v>
      </x:c>
      <x:c r="I256" s="31" t="str">
        <x:v>方法讲解＋实测数据＋问题复盘</x:v>
      </x:c>
      <x:c r="J256" s="31" t="str">
        <x:v>讲稿、实验步骤、原始数据、处理脚本、结果说明</x:v>
      </x:c>
      <x:c r="K256" s="31" t="str">
        <x:v>核心</x:v>
      </x:c>
      <x:c r="L256" s="31" t="str">
        <x:v>待确认</x:v>
      </x:c>
      <x:c r="M256" s="31" t="str">
        <x:v>参考所属系列前序模块</x:v>
      </x:c>
      <x:c r="N256" s="31" t="str"/>
    </x:row>
    <x:row r="257" ht="42" customHeight="1">
      <x:c r="A257" s="31" t="str">
        <x:v>M1.08</x:v>
      </x:c>
      <x:c r="B257" s="31" t="str">
        <x:v>M</x:v>
      </x:c>
      <x:c r="C257" s="31" t="str">
        <x:v>M1</x:v>
      </x:c>
      <x:c r="D257" s="31" t="str">
        <x:v>电机、机械与热参数辨识</x:v>
      </x:c>
      <x:c r="E257" s="31" t="str">
        <x:v>绕组温升、热阻、热容与温度相关参数模型</x:v>
      </x:c>
      <x:c r="F257" s="31" t="str">
        <x:v>A｜建议你主讲</x:v>
      </x:c>
      <x:c r="G257" s="31" t="str">
        <x:v>你主讲</x:v>
      </x:c>
      <x:c r="H257" s="31" t="str">
        <x:v>依赖真实项目决策、波形判断或完整调试经验，适合由课程负责人讲清工程取舍。</x:v>
      </x:c>
      <x:c r="I257" s="31" t="str">
        <x:v>原理图/计算＋板级测试</x:v>
      </x:c>
      <x:c r="J257" s="31" t="str">
        <x:v>讲稿、原理图/计算、板级测试记录、检查清单</x:v>
      </x:c>
      <x:c r="K257" s="31" t="str">
        <x:v>核心</x:v>
      </x:c>
      <x:c r="L257" s="31" t="str">
        <x:v>待确认</x:v>
      </x:c>
      <x:c r="M257" s="31" t="str">
        <x:v>参考所属系列前序模块</x:v>
      </x:c>
      <x:c r="N257" s="31" t="str"/>
    </x:row>
    <x:row r="258" ht="42" customHeight="1">
      <x:c r="A258" s="31" t="str">
        <x:v>M1.09</x:v>
      </x:c>
      <x:c r="B258" s="31" t="str">
        <x:v>M</x:v>
      </x:c>
      <x:c r="C258" s="31" t="str">
        <x:v>M1</x:v>
      </x:c>
      <x:c r="D258" s="31" t="str">
        <x:v>电机、机械与热参数辨识</x:v>
      </x:c>
      <x:c r="E258" s="31" t="str">
        <x:v>在线 Rs、磁链、惯量与负载转矩估计</x:v>
      </x:c>
      <x:c r="F258" s="31" t="str">
        <x:v>A｜建议你主讲</x:v>
      </x:c>
      <x:c r="G258" s="31" t="str">
        <x:v>你主讲</x:v>
      </x:c>
      <x:c r="H258" s="31" t="str">
        <x:v>依赖真实项目决策、波形判断或完整调试经验，适合由课程负责人讲清工程取舍。</x:v>
      </x:c>
      <x:c r="I258" s="31" t="str">
        <x:v>原理讲解＋工程案例＋检查题</x:v>
      </x:c>
      <x:c r="J258" s="31" t="str">
        <x:v>讲稿、课件、示例、作业与答案</x:v>
      </x:c>
      <x:c r="K258" s="31" t="str">
        <x:v>核心</x:v>
      </x:c>
      <x:c r="L258" s="31" t="str">
        <x:v>待确认</x:v>
      </x:c>
      <x:c r="M258" s="31" t="str">
        <x:v>参考所属系列前序模块</x:v>
      </x:c>
      <x:c r="N258" s="31" t="str"/>
    </x:row>
    <x:row r="259" ht="42" customHeight="1">
      <x:c r="A259" s="31" t="str">
        <x:v>M1.10</x:v>
      </x:c>
      <x:c r="B259" s="31" t="str">
        <x:v>M</x:v>
      </x:c>
      <x:c r="C259" s="31" t="str">
        <x:v>M1</x:v>
      </x:c>
      <x:c r="D259" s="31" t="str">
        <x:v>电机、机械与热参数辨识</x:v>
      </x:c>
      <x:c r="E259" s="31" t="str">
        <x:v>激励判断、参数冻结、置信度、限幅与异常保护</x:v>
      </x:c>
      <x:c r="F259" s="31" t="str">
        <x:v>A｜建议你主讲</x:v>
      </x:c>
      <x:c r="G259" s="31" t="str">
        <x:v>你主讲</x:v>
      </x:c>
      <x:c r="H259" s="31" t="str">
        <x:v>依赖真实项目决策、波形判断或完整调试经验，适合由课程负责人讲清工程取舍。</x:v>
      </x:c>
      <x:c r="I259" s="31" t="str">
        <x:v>方法讲解＋实测数据＋问题复盘</x:v>
      </x:c>
      <x:c r="J259" s="31" t="str">
        <x:v>讲稿、课件、示例、作业与答案</x:v>
      </x:c>
      <x:c r="K259" s="31" t="str">
        <x:v>核心</x:v>
      </x:c>
      <x:c r="L259" s="31" t="str">
        <x:v>待确认</x:v>
      </x:c>
      <x:c r="M259" s="31" t="str">
        <x:v>参考所属系列前序模块</x:v>
      </x:c>
      <x:c r="N259" s="31" t="str"/>
    </x:row>
    <x:row r="260" ht="42" customHeight="1">
      <x:c r="A260" s="31" t="str">
        <x:v>M1.11</x:v>
      </x:c>
      <x:c r="B260" s="31" t="str">
        <x:v>M</x:v>
      </x:c>
      <x:c r="C260" s="31" t="str">
        <x:v>M1</x:v>
      </x:c>
      <x:c r="D260" s="31" t="str">
        <x:v>电机、机械与热参数辨识</x:v>
      </x:c>
      <x:c r="E260" s="31" t="str">
        <x:v>基础值、离线值、在线估计值与备用值管理</x:v>
      </x:c>
      <x:c r="F260" s="31" t="str">
        <x:v>A｜建议你主讲</x:v>
      </x:c>
      <x:c r="G260" s="31" t="str">
        <x:v>你主讲</x:v>
      </x:c>
      <x:c r="H260" s="31" t="str">
        <x:v>依赖真实项目决策、波形判断或完整调试经验，适合由课程负责人讲清工程取舍。</x:v>
      </x:c>
      <x:c r="I260" s="31" t="str">
        <x:v>原理讲解＋工程案例＋检查题</x:v>
      </x:c>
      <x:c r="J260" s="31" t="str">
        <x:v>讲稿、课件、示例、作业与答案</x:v>
      </x:c>
      <x:c r="K260" s="31" t="str">
        <x:v>核心</x:v>
      </x:c>
      <x:c r="L260" s="31" t="str">
        <x:v>待确认</x:v>
      </x:c>
      <x:c r="M260" s="31" t="str">
        <x:v>参考所属系列前序模块</x:v>
      </x:c>
      <x:c r="N260" s="31" t="str"/>
    </x:row>
    <x:row r="261" ht="42" customHeight="1">
      <x:c r="A261" s="31" t="str">
        <x:v>M1.12</x:v>
      </x:c>
      <x:c r="B261" s="31" t="str">
        <x:v>M</x:v>
      </x:c>
      <x:c r="C261" s="31" t="str">
        <x:v>M1</x:v>
      </x:c>
      <x:c r="D261" s="31" t="str">
        <x:v>电机、机械与热参数辨识</x:v>
      </x:c>
      <x:c r="E261" s="31" t="str">
        <x:v>参数更新后的 PI、观测器、仿真与能力范围同步验证</x:v>
      </x:c>
      <x:c r="F261" s="31" t="str">
        <x:v>B｜你主讲，专项老师补充</x:v>
      </x:c>
      <x:c r="G261" s="31" t="str">
        <x:v>你主讲，专项老师补充</x:v>
      </x:c>
      <x:c r="H261" s="31" t="str">
        <x:v>属于核心专项，课程负责人控制主线，再由有实机经验的老师补充算法细节和适用边界。</x:v>
      </x:c>
      <x:c r="I261" s="31" t="str">
        <x:v>原理＋模型＋对比验证</x:v>
      </x:c>
      <x:c r="J261" s="31" t="str">
        <x:v>讲稿、模型、参数说明、对比结果</x:v>
      </x:c>
      <x:c r="K261" s="31" t="str">
        <x:v>核心</x:v>
      </x:c>
      <x:c r="L261" s="31" t="str">
        <x:v>待确认</x:v>
      </x:c>
      <x:c r="M261" s="31" t="str">
        <x:v>参考所属系列前序模块</x:v>
      </x:c>
      <x:c r="N261" s="31" t="str"/>
    </x:row>
    <x:row r="262" ht="42" customHeight="1">
      <x:c r="A262" s="31" t="str">
        <x:v>M2.01</x:v>
      </x:c>
      <x:c r="B262" s="31" t="str">
        <x:v>M</x:v>
      </x:c>
      <x:c r="C262" s="31" t="str">
        <x:v>M2</x:v>
      </x:c>
      <x:c r="D262" s="31" t="str">
        <x:v>低成本采样、高性能无感控制与复杂启动</x:v>
      </x:c>
      <x:c r="E262" s="31" t="str">
        <x:v>零速、低速、中高速无感方法选择与能力边界</x:v>
      </x:c>
      <x:c r="F262" s="31" t="str">
        <x:v>B｜你主讲，专项老师补充</x:v>
      </x:c>
      <x:c r="G262" s="31" t="str">
        <x:v>你主讲，专项老师补充</x:v>
      </x:c>
      <x:c r="H262" s="31" t="str">
        <x:v>属于核心专项，课程负责人控制主线，再由有实机经验的老师补充算法细节和适用边界。</x:v>
      </x:c>
      <x:c r="I262" s="31" t="str">
        <x:v>原理讲解＋工程案例＋检查题</x:v>
      </x:c>
      <x:c r="J262" s="31" t="str">
        <x:v>讲稿、课件、示例、作业与答案</x:v>
      </x:c>
      <x:c r="K262" s="31" t="str">
        <x:v>重要</x:v>
      </x:c>
      <x:c r="L262" s="31" t="str">
        <x:v>待确认</x:v>
      </x:c>
      <x:c r="M262" s="31" t="str">
        <x:v>参考所属系列前序模块</x:v>
      </x:c>
      <x:c r="N262" s="31" t="str"/>
    </x:row>
    <x:row r="263" ht="42" customHeight="1">
      <x:c r="A263" s="31" t="str">
        <x:v>M2.02</x:v>
      </x:c>
      <x:c r="B263" s="31" t="str">
        <x:v>M</x:v>
      </x:c>
      <x:c r="C263" s="31" t="str">
        <x:v>M2</x:v>
      </x:c>
      <x:c r="D263" s="31" t="str">
        <x:v>低成本采样、高性能无感控制与复杂启动</x:v>
      </x:c>
      <x:c r="E263" s="31" t="str">
        <x:v>三电阻、双电阻、单电阻对无感电流反馈和运行范围的影响</x:v>
      </x:c>
      <x:c r="F263" s="31" t="str">
        <x:v>B｜你主讲，专项老师补充</x:v>
      </x:c>
      <x:c r="G263" s="31" t="str">
        <x:v>你主讲，专项老师补充</x:v>
      </x:c>
      <x:c r="H263" s="31" t="str">
        <x:v>属于核心专项，课程负责人控制主线，再由有实机经验的老师补充算法细节和适用边界。</x:v>
      </x:c>
      <x:c r="I263" s="31" t="str">
        <x:v>原理讲解＋工程案例＋检查题</x:v>
      </x:c>
      <x:c r="J263" s="31" t="str">
        <x:v>讲稿、课件、示例、作业与答案</x:v>
      </x:c>
      <x:c r="K263" s="31" t="str">
        <x:v>重要</x:v>
      </x:c>
      <x:c r="L263" s="31" t="str">
        <x:v>待确认</x:v>
      </x:c>
      <x:c r="M263" s="31" t="str">
        <x:v>参考所属系列前序模块</x:v>
      </x:c>
      <x:c r="N263" s="31" t="str"/>
    </x:row>
    <x:row r="264" ht="42" customHeight="1">
      <x:c r="A264" s="31" t="str">
        <x:v>M2.03</x:v>
      </x:c>
      <x:c r="B264" s="31" t="str">
        <x:v>M</x:v>
      </x:c>
      <x:c r="C264" s="31" t="str">
        <x:v>M2</x:v>
      </x:c>
      <x:c r="D264" s="31" t="str">
        <x:v>低成本采样、高性能无感控制与复杂启动</x:v>
      </x:c>
      <x:c r="E264" s="31" t="str">
        <x:v>单电阻矢量映射、两次采样、PWM 移相与无效样本处理</x:v>
      </x:c>
      <x:c r="F264" s="31" t="str">
        <x:v>B｜你主讲，专项老师补充</x:v>
      </x:c>
      <x:c r="G264" s="31" t="str">
        <x:v>你主讲，专项老师补充</x:v>
      </x:c>
      <x:c r="H264" s="31" t="str">
        <x:v>属于核心专项，课程负责人控制主线，再由有实机经验的老师补充算法细节和适用边界。</x:v>
      </x:c>
      <x:c r="I264" s="31" t="str">
        <x:v>原理讲解＋工程案例＋检查题</x:v>
      </x:c>
      <x:c r="J264" s="31" t="str">
        <x:v>讲稿、课件、示例、作业与答案</x:v>
      </x:c>
      <x:c r="K264" s="31" t="str">
        <x:v>重要</x:v>
      </x:c>
      <x:c r="L264" s="31" t="str">
        <x:v>待确认</x:v>
      </x:c>
      <x:c r="M264" s="31" t="str">
        <x:v>参考所属系列前序模块</x:v>
      </x:c>
      <x:c r="N264" s="31" t="str"/>
    </x:row>
    <x:row r="265" ht="42" customHeight="1">
      <x:c r="A265" s="31" t="str">
        <x:v>M2.04</x:v>
      </x:c>
      <x:c r="B265" s="31" t="str">
        <x:v>M</x:v>
      </x:c>
      <x:c r="C265" s="31" t="str">
        <x:v>M2</x:v>
      </x:c>
      <x:c r="D265" s="31" t="str">
        <x:v>低成本采样、高性能无感控制与复杂启动</x:v>
      </x:c>
      <x:c r="E265" s="31" t="str">
        <x:v>Duty、母线、死区、压降与信号时刻下的实际定子电压</x:v>
      </x:c>
      <x:c r="F265" s="31" t="str">
        <x:v>B｜你主讲，专项老师补充</x:v>
      </x:c>
      <x:c r="G265" s="31" t="str">
        <x:v>你主讲，专项老师补充</x:v>
      </x:c>
      <x:c r="H265" s="31" t="str">
        <x:v>属于核心专项，课程负责人控制主线，再由有实机经验的老师补充算法细节和适用边界。</x:v>
      </x:c>
      <x:c r="I265" s="31" t="str">
        <x:v>原理讲解＋工程案例＋检查题</x:v>
      </x:c>
      <x:c r="J265" s="31" t="str">
        <x:v>讲稿、课件、示例、作业与答案</x:v>
      </x:c>
      <x:c r="K265" s="31" t="str">
        <x:v>重要</x:v>
      </x:c>
      <x:c r="L265" s="31" t="str">
        <x:v>待确认</x:v>
      </x:c>
      <x:c r="M265" s="31" t="str">
        <x:v>参考所属系列前序模块</x:v>
      </x:c>
      <x:c r="N265" s="31" t="str"/>
    </x:row>
    <x:row r="266" ht="42" customHeight="1">
      <x:c r="A266" s="31" t="str">
        <x:v>M2.05</x:v>
      </x:c>
      <x:c r="B266" s="31" t="str">
        <x:v>M</x:v>
      </x:c>
      <x:c r="C266" s="31" t="str">
        <x:v>M2</x:v>
      </x:c>
      <x:c r="D266" s="31" t="str">
        <x:v>低成本采样、高性能无感控制与复杂启动</x:v>
      </x:c>
      <x:c r="E266" s="31" t="str">
        <x:v>SMO 电流状态、滑模增益、边界层与反电势提取优化</x:v>
      </x:c>
      <x:c r="F266" s="31" t="str">
        <x:v>B｜你主讲，专项老师补充</x:v>
      </x:c>
      <x:c r="G266" s="31" t="str">
        <x:v>你主讲，专项老师补充</x:v>
      </x:c>
      <x:c r="H266" s="31" t="str">
        <x:v>属于核心专项，课程负责人控制主线，再由有实机经验的老师补充算法细节和适用边界。</x:v>
      </x:c>
      <x:c r="I266" s="31" t="str">
        <x:v>原理讲解＋工程案例＋检查题</x:v>
      </x:c>
      <x:c r="J266" s="31" t="str">
        <x:v>讲稿、课件、示例、作业与答案</x:v>
      </x:c>
      <x:c r="K266" s="31" t="str">
        <x:v>重要</x:v>
      </x:c>
      <x:c r="L266" s="31" t="str">
        <x:v>待确认</x:v>
      </x:c>
      <x:c r="M266" s="31" t="str">
        <x:v>参考所属系列前序模块</x:v>
      </x:c>
      <x:c r="N266" s="31" t="str"/>
    </x:row>
    <x:row r="267" ht="42" customHeight="1">
      <x:c r="A267" s="31" t="str">
        <x:v>M2.06</x:v>
      </x:c>
      <x:c r="B267" s="31" t="str">
        <x:v>M</x:v>
      </x:c>
      <x:c r="C267" s="31" t="str">
        <x:v>M2</x:v>
      </x:c>
      <x:c r="D267" s="31" t="str">
        <x:v>低成本采样、高性能无感控制与复杂启动</x:v>
      </x:c>
      <x:c r="E267" s="31" t="str">
        <x:v>Luenberger、非线性磁链与 Active Flux 方法比较</x:v>
      </x:c>
      <x:c r="F267" s="31" t="str">
        <x:v>B｜你主讲，专项老师补充</x:v>
      </x:c>
      <x:c r="G267" s="31" t="str">
        <x:v>你主讲，专项老师补充</x:v>
      </x:c>
      <x:c r="H267" s="31" t="str">
        <x:v>属于核心专项，课程负责人控制主线，再由有实机经验的老师补充算法细节和适用边界。</x:v>
      </x:c>
      <x:c r="I267" s="31" t="str">
        <x:v>原理讲解＋工程案例＋检查题</x:v>
      </x:c>
      <x:c r="J267" s="31" t="str">
        <x:v>讲稿、课件、示例、作业与答案</x:v>
      </x:c>
      <x:c r="K267" s="31" t="str">
        <x:v>重要</x:v>
      </x:c>
      <x:c r="L267" s="31" t="str">
        <x:v>待确认</x:v>
      </x:c>
      <x:c r="M267" s="31" t="str">
        <x:v>参考所属系列前序模块</x:v>
      </x:c>
      <x:c r="N267" s="31" t="str"/>
    </x:row>
    <x:row r="268" ht="42" customHeight="1">
      <x:c r="A268" s="31" t="str">
        <x:v>M2.07</x:v>
      </x:c>
      <x:c r="B268" s="31" t="str">
        <x:v>M</x:v>
      </x:c>
      <x:c r="C268" s="31" t="str">
        <x:v>M2</x:v>
      </x:c>
      <x:c r="D268" s="31" t="str">
        <x:v>低成本采样、高性能无感控制与复杂启动</x:v>
      </x:c>
      <x:c r="E268" s="31" t="str">
        <x:v>PLL 鉴相、归一化、速度估算与速度相关相位补偿</x:v>
      </x:c>
      <x:c r="F268" s="31" t="str">
        <x:v>B｜你主讲，专项老师补充</x:v>
      </x:c>
      <x:c r="G268" s="31" t="str">
        <x:v>你主讲，专项老师补充</x:v>
      </x:c>
      <x:c r="H268" s="31" t="str">
        <x:v>属于核心专项，课程负责人控制主线，再由有实机经验的老师补充算法细节和适用边界。</x:v>
      </x:c>
      <x:c r="I268" s="31" t="str">
        <x:v>原理讲解＋工程案例＋检查题</x:v>
      </x:c>
      <x:c r="J268" s="31" t="str">
        <x:v>讲稿、课件、示例、作业与答案</x:v>
      </x:c>
      <x:c r="K268" s="31" t="str">
        <x:v>重要</x:v>
      </x:c>
      <x:c r="L268" s="31" t="str">
        <x:v>待确认</x:v>
      </x:c>
      <x:c r="M268" s="31" t="str">
        <x:v>参考所属系列前序模块</x:v>
      </x:c>
      <x:c r="N268" s="31" t="str"/>
    </x:row>
    <x:row r="269" ht="42" customHeight="1">
      <x:c r="A269" s="31" t="str">
        <x:v>M2.08</x:v>
      </x:c>
      <x:c r="B269" s="31" t="str">
        <x:v>M</x:v>
      </x:c>
      <x:c r="C269" s="31" t="str">
        <x:v>M2</x:v>
      </x:c>
      <x:c r="D269" s="31" t="str">
        <x:v>低成本采样、高性能无感控制与复杂启动</x:v>
      </x:c>
      <x:c r="E269" s="31" t="str">
        <x:v>旋转、脉振与方波高频注入的响应解调和适用条件</x:v>
      </x:c>
      <x:c r="F269" s="31" t="str">
        <x:v>B｜你主讲，专项老师补充</x:v>
      </x:c>
      <x:c r="G269" s="31" t="str">
        <x:v>你主讲，专项老师补充</x:v>
      </x:c>
      <x:c r="H269" s="31" t="str">
        <x:v>属于核心专项，课程负责人控制主线，再由有实机经验的老师补充算法细节和适用边界。</x:v>
      </x:c>
      <x:c r="I269" s="31" t="str">
        <x:v>原理讲解＋工程案例＋检查题</x:v>
      </x:c>
      <x:c r="J269" s="31" t="str">
        <x:v>讲稿、课件、示例、作业与答案</x:v>
      </x:c>
      <x:c r="K269" s="31" t="str">
        <x:v>重要</x:v>
      </x:c>
      <x:c r="L269" s="31" t="str">
        <x:v>待确认</x:v>
      </x:c>
      <x:c r="M269" s="31" t="str">
        <x:v>参考所属系列前序模块</x:v>
      </x:c>
      <x:c r="N269" s="31" t="str"/>
    </x:row>
    <x:row r="270" ht="42" customHeight="1">
      <x:c r="A270" s="31" t="str">
        <x:v>M2.09</x:v>
      </x:c>
      <x:c r="B270" s="31" t="str">
        <x:v>M</x:v>
      </x:c>
      <x:c r="C270" s="31" t="str">
        <x:v>M2</x:v>
      </x:c>
      <x:c r="D270" s="31" t="str">
        <x:v>低成本采样、高性能无感控制与复杂启动</x:v>
      </x:c>
      <x:c r="E270" s="31" t="str">
        <x:v>六脉冲初始位置检测、磁轴/极性判断与重复性测试</x:v>
      </x:c>
      <x:c r="F270" s="31" t="str">
        <x:v>B｜你主讲，专项老师补充</x:v>
      </x:c>
      <x:c r="G270" s="31" t="str">
        <x:v>你主讲，专项老师补充</x:v>
      </x:c>
      <x:c r="H270" s="31" t="str">
        <x:v>属于核心专项，课程负责人控制主线，再由有实机经验的老师补充算法细节和适用边界。</x:v>
      </x:c>
      <x:c r="I270" s="31" t="str">
        <x:v>方法讲解＋实测数据＋问题复盘</x:v>
      </x:c>
      <x:c r="J270" s="31" t="str">
        <x:v>讲稿、实验步骤、原始数据、处理脚本、结果说明</x:v>
      </x:c>
      <x:c r="K270" s="31" t="str">
        <x:v>重要</x:v>
      </x:c>
      <x:c r="L270" s="31" t="str">
        <x:v>待确认</x:v>
      </x:c>
      <x:c r="M270" s="31" t="str">
        <x:v>参考所属系列前序模块</x:v>
      </x:c>
      <x:c r="N270" s="31" t="str"/>
    </x:row>
    <x:row r="271" ht="42" customHeight="1">
      <x:c r="A271" s="31" t="str">
        <x:v>M2.10</x:v>
      </x:c>
      <x:c r="B271" s="31" t="str">
        <x:v>M</x:v>
      </x:c>
      <x:c r="C271" s="31" t="str">
        <x:v>M2</x:v>
      </x:c>
      <x:c r="D271" s="31" t="str">
        <x:v>低成本采样、高性能无感控制与复杂启动</x:v>
      </x:c>
      <x:c r="E271" s="31" t="str">
        <x:v>I/F 功角、电流轨迹、带载能力与低速稳定补偿</x:v>
      </x:c>
      <x:c r="F271" s="31" t="str">
        <x:v>B｜你主讲，专项老师补充</x:v>
      </x:c>
      <x:c r="G271" s="31" t="str">
        <x:v>你主讲，专项老师补充</x:v>
      </x:c>
      <x:c r="H271" s="31" t="str">
        <x:v>属于核心专项，课程负责人控制主线，再由有实机经验的老师补充算法细节和适用边界。</x:v>
      </x:c>
      <x:c r="I271" s="31" t="str">
        <x:v>原理讲解＋工程案例＋检查题</x:v>
      </x:c>
      <x:c r="J271" s="31" t="str">
        <x:v>讲稿、课件、示例、作业与答案</x:v>
      </x:c>
      <x:c r="K271" s="31" t="str">
        <x:v>重要</x:v>
      </x:c>
      <x:c r="L271" s="31" t="str">
        <x:v>待确认</x:v>
      </x:c>
      <x:c r="M271" s="31" t="str">
        <x:v>参考所属系列前序模块</x:v>
      </x:c>
      <x:c r="N271" s="31" t="str"/>
    </x:row>
    <x:row r="272" ht="42" customHeight="1">
      <x:c r="A272" s="31" t="str">
        <x:v>M2.11</x:v>
      </x:c>
      <x:c r="B272" s="31" t="str">
        <x:v>M</x:v>
      </x:c>
      <x:c r="C272" s="31" t="str">
        <x:v>M2</x:v>
      </x:c>
      <x:c r="D272" s="31" t="str">
        <x:v>低成本采样、高性能无感控制与复杂启动</x:v>
      </x:c>
      <x:c r="E272" s="31" t="str">
        <x:v>角度、速度、PI 与观测器状态连续的无扰切换</x:v>
      </x:c>
      <x:c r="F272" s="31" t="str">
        <x:v>B｜你主讲，专项老师补充</x:v>
      </x:c>
      <x:c r="G272" s="31" t="str">
        <x:v>你主讲，专项老师补充</x:v>
      </x:c>
      <x:c r="H272" s="31" t="str">
        <x:v>属于核心专项，课程负责人控制主线，再由有实机经验的老师补充算法细节和适用边界。</x:v>
      </x:c>
      <x:c r="I272" s="31" t="str">
        <x:v>原理讲解＋工程案例＋检查题</x:v>
      </x:c>
      <x:c r="J272" s="31" t="str">
        <x:v>讲稿、课件、示例、作业与答案</x:v>
      </x:c>
      <x:c r="K272" s="31" t="str">
        <x:v>重要</x:v>
      </x:c>
      <x:c r="L272" s="31" t="str">
        <x:v>待确认</x:v>
      </x:c>
      <x:c r="M272" s="31" t="str">
        <x:v>参考所属系列前序模块</x:v>
      </x:c>
      <x:c r="N272" s="31" t="str"/>
    </x:row>
    <x:row r="273" ht="42" customHeight="1">
      <x:c r="A273" s="31" t="str">
        <x:v>M2.12</x:v>
      </x:c>
      <x:c r="B273" s="31" t="str">
        <x:v>M</x:v>
      </x:c>
      <x:c r="C273" s="31" t="str">
        <x:v>M2</x:v>
      </x:c>
      <x:c r="D273" s="31" t="str">
        <x:v>低成本采样、高性能无感控制与复杂启动</x:v>
      </x:c>
      <x:c r="E273" s="31" t="str">
        <x:v>端电压、零电流与短路脉冲辨向及旋转中启动</x:v>
      </x:c>
      <x:c r="F273" s="31" t="str">
        <x:v>B｜你主讲，专项老师补充</x:v>
      </x:c>
      <x:c r="G273" s="31" t="str">
        <x:v>你主讲，专项老师补充</x:v>
      </x:c>
      <x:c r="H273" s="31" t="str">
        <x:v>属于核心专项，课程负责人控制主线，再由有实机经验的老师补充算法细节和适用边界。</x:v>
      </x:c>
      <x:c r="I273" s="31" t="str">
        <x:v>原理讲解＋工程案例＋检查题</x:v>
      </x:c>
      <x:c r="J273" s="31" t="str">
        <x:v>讲稿、课件、示例、作业与答案</x:v>
      </x:c>
      <x:c r="K273" s="31" t="str">
        <x:v>重要</x:v>
      </x:c>
      <x:c r="L273" s="31" t="str">
        <x:v>待确认</x:v>
      </x:c>
      <x:c r="M273" s="31" t="str">
        <x:v>参考所属系列前序模块</x:v>
      </x:c>
      <x:c r="N273" s="31" t="str"/>
    </x:row>
    <x:row r="274" ht="42" customHeight="1">
      <x:c r="A274" s="31" t="str">
        <x:v>M2.13</x:v>
      </x:c>
      <x:c r="B274" s="31" t="str">
        <x:v>M</x:v>
      </x:c>
      <x:c r="C274" s="31" t="str">
        <x:v>M2</x:v>
      </x:c>
      <x:c r="D274" s="31" t="str">
        <x:v>低成本采样、高性能无感控制与复杂启动</x:v>
      </x:c>
      <x:c r="E274" s="31" t="str">
        <x:v>观测质量、失锁判断、故障记录、回退与安全退出</x:v>
      </x:c>
      <x:c r="F274" s="31" t="str">
        <x:v>B｜你主讲，专项老师补充</x:v>
      </x:c>
      <x:c r="G274" s="31" t="str">
        <x:v>你主讲，专项老师补充</x:v>
      </x:c>
      <x:c r="H274" s="31" t="str">
        <x:v>属于核心专项，课程负责人控制主线，再由有实机经验的老师补充算法细节和适用边界。</x:v>
      </x:c>
      <x:c r="I274" s="31" t="str">
        <x:v>方法讲解＋实测数据＋问题复盘</x:v>
      </x:c>
      <x:c r="J274" s="31" t="str">
        <x:v>讲稿、课件、示例、作业与答案</x:v>
      </x:c>
      <x:c r="K274" s="31" t="str">
        <x:v>重要</x:v>
      </x:c>
      <x:c r="L274" s="31" t="str">
        <x:v>待确认</x:v>
      </x:c>
      <x:c r="M274" s="31" t="str">
        <x:v>参考所属系列前序模块</x:v>
      </x:c>
      <x:c r="N274" s="31" t="str"/>
    </x:row>
    <x:row r="275" ht="42" customHeight="1">
      <x:c r="A275" s="31" t="str">
        <x:v>M2.14</x:v>
      </x:c>
      <x:c r="B275" s="31" t="str">
        <x:v>M</x:v>
      </x:c>
      <x:c r="C275" s="31" t="str">
        <x:v>M2</x:v>
      </x:c>
      <x:c r="D275" s="31" t="str">
        <x:v>低成本采样、高性能无感控制与复杂启动</x:v>
      </x:c>
      <x:c r="E275" s="31" t="str">
        <x:v>参数、母线、温度、负载和正反转下的可靠运行范围验收</x:v>
      </x:c>
      <x:c r="F275" s="31" t="str">
        <x:v>B｜你主讲，专项老师补充</x:v>
      </x:c>
      <x:c r="G275" s="31" t="str">
        <x:v>你主讲，专项老师补充</x:v>
      </x:c>
      <x:c r="H275" s="31" t="str">
        <x:v>属于核心专项，课程负责人控制主线，再由有实机经验的老师补充算法细节和适用边界。</x:v>
      </x:c>
      <x:c r="I275" s="31" t="str">
        <x:v>原理讲解＋工程案例＋检查题</x:v>
      </x:c>
      <x:c r="J275" s="31" t="str">
        <x:v>讲稿、课件、示例、作业与答案</x:v>
      </x:c>
      <x:c r="K275" s="31" t="str">
        <x:v>重要</x:v>
      </x:c>
      <x:c r="L275" s="31" t="str">
        <x:v>待确认</x:v>
      </x:c>
      <x:c r="M275" s="31" t="str">
        <x:v>参考所属系列前序模块</x:v>
      </x:c>
      <x:c r="N275" s="31" t="str"/>
    </x:row>
    <x:row r="276" ht="42" customHeight="1">
      <x:c r="A276" s="31" t="str">
        <x:v>M3.01</x:v>
      </x:c>
      <x:c r="B276" s="31" t="str">
        <x:v>M</x:v>
      </x:c>
      <x:c r="C276" s="31" t="str">
        <x:v>M3</x:v>
      </x:c>
      <x:c r="D276" s="31" t="str">
        <x:v>工业伺服控制、反馈优化与振动抑制</x:v>
      </x:c>
      <x:c r="E276" s="31" t="str">
        <x:v>工业伺服三环结构、目标带宽与性能约束</x:v>
      </x:c>
      <x:c r="F276" s="31" t="str">
        <x:v>A｜建议你主讲</x:v>
      </x:c>
      <x:c r="G276" s="31" t="str">
        <x:v>你主讲</x:v>
      </x:c>
      <x:c r="H276" s="31" t="str">
        <x:v>依赖真实项目决策、波形判断或完整调试经验，适合由课程负责人讲清工程取舍。</x:v>
      </x:c>
      <x:c r="I276" s="31" t="str">
        <x:v>原理讲解＋工程案例＋检查题</x:v>
      </x:c>
      <x:c r="J276" s="31" t="str">
        <x:v>讲稿、课件、示例、作业与答案</x:v>
      </x:c>
      <x:c r="K276" s="31" t="str">
        <x:v>核心</x:v>
      </x:c>
      <x:c r="L276" s="31" t="str">
        <x:v>待确认</x:v>
      </x:c>
      <x:c r="M276" s="31" t="str">
        <x:v>参考所属系列前序模块</x:v>
      </x:c>
      <x:c r="N276" s="31" t="str"/>
    </x:row>
    <x:row r="277" ht="42" customHeight="1">
      <x:c r="A277" s="31" t="str">
        <x:v>M3.02</x:v>
      </x:c>
      <x:c r="B277" s="31" t="str">
        <x:v>M</x:v>
      </x:c>
      <x:c r="C277" s="31" t="str">
        <x:v>M3</x:v>
      </x:c>
      <x:c r="D277" s="31" t="str">
        <x:v>工业伺服控制、反馈优化与振动抑制</x:v>
      </x:c>
      <x:c r="E277" s="31" t="str">
        <x:v>编码器时间戳、单圈/多圈位置与反馈可信度</x:v>
      </x:c>
      <x:c r="F277" s="31" t="str">
        <x:v>A｜建议你主讲</x:v>
      </x:c>
      <x:c r="G277" s="31" t="str">
        <x:v>你主讲</x:v>
      </x:c>
      <x:c r="H277" s="31" t="str">
        <x:v>依赖真实项目决策、波形判断或完整调试经验，适合由课程负责人讲清工程取舍。</x:v>
      </x:c>
      <x:c r="I277" s="31" t="str">
        <x:v>原理讲解＋工程案例＋检查题</x:v>
      </x:c>
      <x:c r="J277" s="31" t="str">
        <x:v>讲稿、课件、示例、作业与答案</x:v>
      </x:c>
      <x:c r="K277" s="31" t="str">
        <x:v>核心</x:v>
      </x:c>
      <x:c r="L277" s="31" t="str">
        <x:v>待确认</x:v>
      </x:c>
      <x:c r="M277" s="31" t="str">
        <x:v>参考所属系列前序模块</x:v>
      </x:c>
      <x:c r="N277" s="31" t="str"/>
    </x:row>
    <x:row r="278" ht="42" customHeight="1">
      <x:c r="A278" s="31" t="str">
        <x:v>M3.03</x:v>
      </x:c>
      <x:c r="B278" s="31" t="str">
        <x:v>M</x:v>
      </x:c>
      <x:c r="C278" s="31" t="str">
        <x:v>M3</x:v>
      </x:c>
      <x:c r="D278" s="31" t="str">
        <x:v>工业伺服控制、反馈优化与振动抑制</x:v>
      </x:c>
      <x:c r="E278" s="31" t="str">
        <x:v>窗口、M/T、PLL 等速度估算方法与工作区间</x:v>
      </x:c>
      <x:c r="F278" s="31" t="str">
        <x:v>B｜你主讲，专项老师补充</x:v>
      </x:c>
      <x:c r="G278" s="31" t="str">
        <x:v>你主讲，专项老师补充</x:v>
      </x:c>
      <x:c r="H278" s="31" t="str">
        <x:v>属于核心专项，课程负责人控制主线，再由有实机经验的老师补充算法细节和适用边界。</x:v>
      </x:c>
      <x:c r="I278" s="31" t="str">
        <x:v>原理讲解＋工程案例＋检查题</x:v>
      </x:c>
      <x:c r="J278" s="31" t="str">
        <x:v>讲稿、课件、示例、作业与答案</x:v>
      </x:c>
      <x:c r="K278" s="31" t="str">
        <x:v>核心</x:v>
      </x:c>
      <x:c r="L278" s="31" t="str">
        <x:v>待确认</x:v>
      </x:c>
      <x:c r="M278" s="31" t="str">
        <x:v>参考所属系列前序模块</x:v>
      </x:c>
      <x:c r="N278" s="31" t="str"/>
    </x:row>
    <x:row r="279" ht="42" customHeight="1">
      <x:c r="A279" s="31" t="str">
        <x:v>M3.04</x:v>
      </x:c>
      <x:c r="B279" s="31" t="str">
        <x:v>M</x:v>
      </x:c>
      <x:c r="C279" s="31" t="str">
        <x:v>M3</x:v>
      </x:c>
      <x:c r="D279" s="31" t="str">
        <x:v>工业伺服控制、反馈优化与振动抑制</x:v>
      </x:c>
      <x:c r="E279" s="31" t="str">
        <x:v>角度/速度反馈延迟测量、预测补偿与高速一致性</x:v>
      </x:c>
      <x:c r="F279" s="31" t="str">
        <x:v>A｜建议你主讲</x:v>
      </x:c>
      <x:c r="G279" s="31" t="str">
        <x:v>你主讲</x:v>
      </x:c>
      <x:c r="H279" s="31" t="str">
        <x:v>依赖真实项目决策、波形判断或完整调试经验，适合由课程负责人讲清工程取舍。</x:v>
      </x:c>
      <x:c r="I279" s="31" t="str">
        <x:v>原理讲解＋工程案例＋检查题</x:v>
      </x:c>
      <x:c r="J279" s="31" t="str">
        <x:v>讲稿、课件、示例、作业与答案</x:v>
      </x:c>
      <x:c r="K279" s="31" t="str">
        <x:v>核心</x:v>
      </x:c>
      <x:c r="L279" s="31" t="str">
        <x:v>待确认</x:v>
      </x:c>
      <x:c r="M279" s="31" t="str">
        <x:v>参考所属系列前序模块</x:v>
      </x:c>
      <x:c r="N279" s="31" t="str"/>
    </x:row>
    <x:row r="280" ht="42" customHeight="1">
      <x:c r="A280" s="31" t="str">
        <x:v>M3.05</x:v>
      </x:c>
      <x:c r="B280" s="31" t="str">
        <x:v>M</x:v>
      </x:c>
      <x:c r="C280" s="31" t="str">
        <x:v>M3</x:v>
      </x:c>
      <x:c r="D280" s="31" t="str">
        <x:v>工业伺服控制、反馈优化与振动抑制</x:v>
      </x:c>
      <x:c r="E280" s="31" t="str">
        <x:v>电流环离散模型、PI 参数复核与实测频响优化</x:v>
      </x:c>
      <x:c r="F280" s="31" t="str">
        <x:v>A｜建议你主讲</x:v>
      </x:c>
      <x:c r="G280" s="31" t="str">
        <x:v>你主讲</x:v>
      </x:c>
      <x:c r="H280" s="31" t="str">
        <x:v>依赖真实项目决策、波形判断或完整调试经验，适合由课程负责人讲清工程取舍。</x:v>
      </x:c>
      <x:c r="I280" s="31" t="str">
        <x:v>原理＋模型＋对比验证</x:v>
      </x:c>
      <x:c r="J280" s="31" t="str">
        <x:v>讲稿、模型、参数说明、对比结果</x:v>
      </x:c>
      <x:c r="K280" s="31" t="str">
        <x:v>核心</x:v>
      </x:c>
      <x:c r="L280" s="31" t="str">
        <x:v>待确认</x:v>
      </x:c>
      <x:c r="M280" s="31" t="str">
        <x:v>参考所属系列前序模块</x:v>
      </x:c>
      <x:c r="N280" s="31" t="str"/>
    </x:row>
    <x:row r="281" ht="42" customHeight="1">
      <x:c r="A281" s="31" t="str">
        <x:v>M3.06</x:v>
      </x:c>
      <x:c r="B281" s="31" t="str">
        <x:v>M</x:v>
      </x:c>
      <x:c r="C281" s="31" t="str">
        <x:v>M3</x:v>
      </x:c>
      <x:c r="D281" s="31" t="str">
        <x:v>工业伺服控制、反馈优化与振动抑制</x:v>
      </x:c>
      <x:c r="E281" s="31" t="str">
        <x:v>dq 解耦、反电势前馈、电压限幅与多环 Anti-windup</x:v>
      </x:c>
      <x:c r="F281" s="31" t="str">
        <x:v>A｜建议你主讲</x:v>
      </x:c>
      <x:c r="G281" s="31" t="str">
        <x:v>你主讲</x:v>
      </x:c>
      <x:c r="H281" s="31" t="str">
        <x:v>依赖真实项目决策、波形判断或完整调试经验，适合由课程负责人讲清工程取舍。</x:v>
      </x:c>
      <x:c r="I281" s="31" t="str">
        <x:v>原理讲解＋工程案例＋检查题</x:v>
      </x:c>
      <x:c r="J281" s="31" t="str">
        <x:v>讲稿、课件、示例、作业与答案</x:v>
      </x:c>
      <x:c r="K281" s="31" t="str">
        <x:v>核心</x:v>
      </x:c>
      <x:c r="L281" s="31" t="str">
        <x:v>待确认</x:v>
      </x:c>
      <x:c r="M281" s="31" t="str">
        <x:v>参考所属系列前序模块</x:v>
      </x:c>
      <x:c r="N281" s="31" t="str"/>
    </x:row>
    <x:row r="282" ht="42" customHeight="1">
      <x:c r="A282" s="31" t="str">
        <x:v>M3.07</x:v>
      </x:c>
      <x:c r="B282" s="31" t="str">
        <x:v>M</x:v>
      </x:c>
      <x:c r="C282" s="31" t="str">
        <x:v>M3</x:v>
      </x:c>
      <x:c r="D282" s="31" t="str">
        <x:v>工业伺服控制、反馈优化与振动抑制</x:v>
      </x:c>
      <x:c r="E282" s="31" t="str">
        <x:v>速度环建模、PI 参数整定与跟随/抗扰测试</x:v>
      </x:c>
      <x:c r="F282" s="31" t="str">
        <x:v>A｜建议你主讲</x:v>
      </x:c>
      <x:c r="G282" s="31" t="str">
        <x:v>你主讲</x:v>
      </x:c>
      <x:c r="H282" s="31" t="str">
        <x:v>依赖真实项目决策、波形判断或完整调试经验，适合由课程负责人讲清工程取舍。</x:v>
      </x:c>
      <x:c r="I282" s="31" t="str">
        <x:v>方法讲解＋实测数据＋问题复盘</x:v>
      </x:c>
      <x:c r="J282" s="31" t="str">
        <x:v>讲稿、实验步骤、原始数据、处理脚本、结果说明</x:v>
      </x:c>
      <x:c r="K282" s="31" t="str">
        <x:v>核心</x:v>
      </x:c>
      <x:c r="L282" s="31" t="str">
        <x:v>待确认</x:v>
      </x:c>
      <x:c r="M282" s="31" t="str">
        <x:v>参考所属系列前序模块</x:v>
      </x:c>
      <x:c r="N282" s="31" t="str"/>
    </x:row>
    <x:row r="283" ht="42" customHeight="1">
      <x:c r="A283" s="31" t="str">
        <x:v>M3.08</x:v>
      </x:c>
      <x:c r="B283" s="31" t="str">
        <x:v>M</x:v>
      </x:c>
      <x:c r="C283" s="31" t="str">
        <x:v>M3</x:v>
      </x:c>
      <x:c r="D283" s="31" t="str">
        <x:v>工业伺服控制、反馈优化与振动抑制</x:v>
      </x:c>
      <x:c r="E283" s="31" t="str">
        <x:v>两自由度 PI、加速度前馈与扰动观测器</x:v>
      </x:c>
      <x:c r="F283" s="31" t="str">
        <x:v>B｜你主讲，专项老师补充</x:v>
      </x:c>
      <x:c r="G283" s="31" t="str">
        <x:v>你主讲，专项老师补充</x:v>
      </x:c>
      <x:c r="H283" s="31" t="str">
        <x:v>属于核心专项，课程负责人控制主线，再由有实机经验的老师补充算法细节和适用边界。</x:v>
      </x:c>
      <x:c r="I283" s="31" t="str">
        <x:v>原理讲解＋工程案例＋检查题</x:v>
      </x:c>
      <x:c r="J283" s="31" t="str">
        <x:v>讲稿、课件、示例、作业与答案</x:v>
      </x:c>
      <x:c r="K283" s="31" t="str">
        <x:v>核心</x:v>
      </x:c>
      <x:c r="L283" s="31" t="str">
        <x:v>待确认</x:v>
      </x:c>
      <x:c r="M283" s="31" t="str">
        <x:v>参考所属系列前序模块</x:v>
      </x:c>
      <x:c r="N283" s="31" t="str"/>
    </x:row>
    <x:row r="284" ht="42" customHeight="1">
      <x:c r="A284" s="31" t="str">
        <x:v>M3.09</x:v>
      </x:c>
      <x:c r="B284" s="31" t="str">
        <x:v>M</x:v>
      </x:c>
      <x:c r="C284" s="31" t="str">
        <x:v>M3</x:v>
      </x:c>
      <x:c r="D284" s="31" t="str">
        <x:v>工业伺服控制、反馈优化与振动抑制</x:v>
      </x:c>
      <x:c r="E284" s="31" t="str">
        <x:v>位置环参数、电子齿轮与定位精度测试</x:v>
      </x:c>
      <x:c r="F284" s="31" t="str">
        <x:v>A｜建议你主讲</x:v>
      </x:c>
      <x:c r="G284" s="31" t="str">
        <x:v>你主讲</x:v>
      </x:c>
      <x:c r="H284" s="31" t="str">
        <x:v>依赖真实项目决策、波形判断或完整调试经验，适合由课程负责人讲清工程取舍。</x:v>
      </x:c>
      <x:c r="I284" s="31" t="str">
        <x:v>方法讲解＋实测数据＋问题复盘</x:v>
      </x:c>
      <x:c r="J284" s="31" t="str">
        <x:v>讲稿、实验步骤、原始数据、处理脚本、结果说明</x:v>
      </x:c>
      <x:c r="K284" s="31" t="str">
        <x:v>核心</x:v>
      </x:c>
      <x:c r="L284" s="31" t="str">
        <x:v>待确认</x:v>
      </x:c>
      <x:c r="M284" s="31" t="str">
        <x:v>参考所属系列前序模块</x:v>
      </x:c>
      <x:c r="N284" s="31" t="str"/>
    </x:row>
    <x:row r="285" ht="42" customHeight="1">
      <x:c r="A285" s="31" t="str">
        <x:v>M3.10</x:v>
      </x:c>
      <x:c r="B285" s="31" t="str">
        <x:v>M</x:v>
      </x:c>
      <x:c r="C285" s="31" t="str">
        <x:v>M3</x:v>
      </x:c>
      <x:c r="D285" s="31" t="str">
        <x:v>工业伺服控制、反馈优化与振动抑制</x:v>
      </x:c>
      <x:c r="E285" s="31" t="str">
        <x:v>梯形/S 曲线、Jerk 限制与在线轨迹调整</x:v>
      </x:c>
      <x:c r="F285" s="31" t="str">
        <x:v>A｜建议你主讲</x:v>
      </x:c>
      <x:c r="G285" s="31" t="str">
        <x:v>你主讲</x:v>
      </x:c>
      <x:c r="H285" s="31" t="str">
        <x:v>依赖真实项目决策、波形判断或完整调试经验，适合由课程负责人讲清工程取舍。</x:v>
      </x:c>
      <x:c r="I285" s="31" t="str">
        <x:v>原理讲解＋工程案例＋检查题</x:v>
      </x:c>
      <x:c r="J285" s="31" t="str">
        <x:v>讲稿、课件、示例、作业与答案</x:v>
      </x:c>
      <x:c r="K285" s="31" t="str">
        <x:v>核心</x:v>
      </x:c>
      <x:c r="L285" s="31" t="str">
        <x:v>待确认</x:v>
      </x:c>
      <x:c r="M285" s="31" t="str">
        <x:v>参考所属系列前序模块</x:v>
      </x:c>
      <x:c r="N285" s="31" t="str"/>
    </x:row>
    <x:row r="286" ht="42" customHeight="1">
      <x:c r="A286" s="31" t="str">
        <x:v>M3.11</x:v>
      </x:c>
      <x:c r="B286" s="31" t="str">
        <x:v>M</x:v>
      </x:c>
      <x:c r="C286" s="31" t="str">
        <x:v>M3</x:v>
      </x:c>
      <x:c r="D286" s="31" t="str">
        <x:v>工业伺服控制、反馈优化与振动抑制</x:v>
      </x:c>
      <x:c r="E286" s="31" t="str">
        <x:v>摩擦补偿、速度过零、零速保持与低速爬行</x:v>
      </x:c>
      <x:c r="F286" s="31" t="str">
        <x:v>A｜建议你主讲</x:v>
      </x:c>
      <x:c r="G286" s="31" t="str">
        <x:v>你主讲</x:v>
      </x:c>
      <x:c r="H286" s="31" t="str">
        <x:v>依赖真实项目决策、波形判断或完整调试经验，适合由课程负责人讲清工程取舍。</x:v>
      </x:c>
      <x:c r="I286" s="31" t="str">
        <x:v>原理讲解＋工程案例＋检查题</x:v>
      </x:c>
      <x:c r="J286" s="31" t="str">
        <x:v>讲稿、课件、示例、作业与答案</x:v>
      </x:c>
      <x:c r="K286" s="31" t="str">
        <x:v>核心</x:v>
      </x:c>
      <x:c r="L286" s="31" t="str">
        <x:v>待确认</x:v>
      </x:c>
      <x:c r="M286" s="31" t="str">
        <x:v>参考所属系列前序模块</x:v>
      </x:c>
      <x:c r="N286" s="31" t="str"/>
    </x:row>
    <x:row r="287" ht="42" customHeight="1">
      <x:c r="A287" s="31" t="str">
        <x:v>M3.12</x:v>
      </x:c>
      <x:c r="B287" s="31" t="str">
        <x:v>M</x:v>
      </x:c>
      <x:c r="C287" s="31" t="str">
        <x:v>M3</x:v>
      </x:c>
      <x:c r="D287" s="31" t="str">
        <x:v>工业伺服控制、反馈优化与振动抑制</x:v>
      </x:c>
      <x:c r="E287" s="31" t="str">
        <x:v>机械共振辨识、数字陷波与 ZV/ZVD 输入整形</x:v>
      </x:c>
      <x:c r="F287" s="31" t="str">
        <x:v>A｜建议你主讲</x:v>
      </x:c>
      <x:c r="G287" s="31" t="str">
        <x:v>你主讲</x:v>
      </x:c>
      <x:c r="H287" s="31" t="str">
        <x:v>依赖真实项目决策、波形判断或完整调试经验，适合由课程负责人讲清工程取舍。</x:v>
      </x:c>
      <x:c r="I287" s="31" t="str">
        <x:v>方法讲解＋实测数据＋问题复盘</x:v>
      </x:c>
      <x:c r="J287" s="31" t="str">
        <x:v>讲稿、实验步骤、原始数据、处理脚本、结果说明</x:v>
      </x:c>
      <x:c r="K287" s="31" t="str">
        <x:v>核心</x:v>
      </x:c>
      <x:c r="L287" s="31" t="str">
        <x:v>待确认</x:v>
      </x:c>
      <x:c r="M287" s="31" t="str">
        <x:v>参考所属系列前序模块</x:v>
      </x:c>
      <x:c r="N287" s="31" t="str"/>
    </x:row>
    <x:row r="288" ht="42" customHeight="1">
      <x:c r="A288" s="31" t="str">
        <x:v>M3.13</x:v>
      </x:c>
      <x:c r="B288" s="31" t="str">
        <x:v>M</x:v>
      </x:c>
      <x:c r="C288" s="31" t="str">
        <x:v>M3</x:v>
      </x:c>
      <x:c r="D288" s="31" t="str">
        <x:v>工业伺服控制、反馈优化与振动抑制</x:v>
      </x:c>
      <x:c r="E288" s="31" t="str">
        <x:v>刚性等级、增益组、自动整定与参数平滑切换</x:v>
      </x:c>
      <x:c r="F288" s="31" t="str">
        <x:v>A｜建议你主讲</x:v>
      </x:c>
      <x:c r="G288" s="31" t="str">
        <x:v>你主讲</x:v>
      </x:c>
      <x:c r="H288" s="31" t="str">
        <x:v>依赖真实项目决策、波形判断或完整调试经验，适合由课程负责人讲清工程取舍。</x:v>
      </x:c>
      <x:c r="I288" s="31" t="str">
        <x:v>原理讲解＋工程案例＋检查题</x:v>
      </x:c>
      <x:c r="J288" s="31" t="str">
        <x:v>讲稿、课件、示例、作业与答案</x:v>
      </x:c>
      <x:c r="K288" s="31" t="str">
        <x:v>核心</x:v>
      </x:c>
      <x:c r="L288" s="31" t="str">
        <x:v>待确认</x:v>
      </x:c>
      <x:c r="M288" s="31" t="str">
        <x:v>参考所属系列前序模块</x:v>
      </x:c>
      <x:c r="N288" s="31" t="str"/>
    </x:row>
    <x:row r="289" ht="42" customHeight="1">
      <x:c r="A289" s="31" t="str">
        <x:v>M3.14</x:v>
      </x:c>
      <x:c r="B289" s="31" t="str">
        <x:v>M</x:v>
      </x:c>
      <x:c r="C289" s="31" t="str">
        <x:v>M3</x:v>
      </x:c>
      <x:c r="D289" s="31" t="str">
        <x:v>工业伺服控制、反馈优化与振动抑制</x:v>
      </x:c>
      <x:c r="E289" s="31" t="str">
        <x:v>CST、CSV、CSP 模式与工业伺服综合回归测试</x:v>
      </x:c>
      <x:c r="F289" s="31" t="str">
        <x:v>A｜建议你主讲</x:v>
      </x:c>
      <x:c r="G289" s="31" t="str">
        <x:v>你主讲</x:v>
      </x:c>
      <x:c r="H289" s="31" t="str">
        <x:v>依赖真实项目决策、波形判断或完整调试经验，适合由课程负责人讲清工程取舍。</x:v>
      </x:c>
      <x:c r="I289" s="31" t="str">
        <x:v>方法讲解＋实测数据＋问题复盘</x:v>
      </x:c>
      <x:c r="J289" s="31" t="str">
        <x:v>讲稿、实验步骤、原始数据、处理脚本、结果说明</x:v>
      </x:c>
      <x:c r="K289" s="31" t="str">
        <x:v>核心</x:v>
      </x:c>
      <x:c r="L289" s="31" t="str">
        <x:v>待确认</x:v>
      </x:c>
      <x:c r="M289" s="31" t="str">
        <x:v>参考所属系列前序模块</x:v>
      </x:c>
      <x:c r="N289" s="31" t="str"/>
    </x:row>
    <x:row r="290" ht="42" customHeight="1">
      <x:c r="A290" s="31" t="str">
        <x:v>M4.01</x:v>
      </x:c>
      <x:c r="B290" s="31" t="str">
        <x:v>M</x:v>
      </x:c>
      <x:c r="C290" s="31" t="str">
        <x:v>M4</x:v>
      </x:c>
      <x:c r="D290" s="31" t="str">
        <x:v>机器人关节、力矩标定与柔顺交互</x:v>
      </x:c>
      <x:c r="E290" s="31" t="str">
        <x:v>电机侧、减速器侧与关节侧坐标、方向和单位统一</x:v>
      </x:c>
      <x:c r="F290" s="31" t="str">
        <x:v>A｜建议你主讲</x:v>
      </x:c>
      <x:c r="G290" s="31" t="str">
        <x:v>你主讲</x:v>
      </x:c>
      <x:c r="H290" s="31" t="str">
        <x:v>依赖真实项目决策、波形判断或完整调试经验，适合由课程负责人讲清工程取舍。</x:v>
      </x:c>
      <x:c r="I290" s="31" t="str">
        <x:v>原理讲解＋工程案例＋检查题</x:v>
      </x:c>
      <x:c r="J290" s="31" t="str">
        <x:v>讲稿、课件、示例、作业与答案</x:v>
      </x:c>
      <x:c r="K290" s="31" t="str">
        <x:v>核心</x:v>
      </x:c>
      <x:c r="L290" s="31" t="str">
        <x:v>待确认</x:v>
      </x:c>
      <x:c r="M290" s="31" t="str">
        <x:v>参考所属系列前序模块</x:v>
      </x:c>
      <x:c r="N290" s="31" t="str"/>
    </x:row>
    <x:row r="291" ht="42" customHeight="1">
      <x:c r="A291" s="31" t="str">
        <x:v>M4.02</x:v>
      </x:c>
      <x:c r="B291" s="31" t="str">
        <x:v>M</x:v>
      </x:c>
      <x:c r="C291" s="31" t="str">
        <x:v>M4</x:v>
      </x:c>
      <x:c r="D291" s="31" t="str">
        <x:v>机器人关节、力矩标定与柔顺交互</x:v>
      </x:c>
      <x:c r="E291" s="31" t="str">
        <x:v>减速比、关节零位与双编码器时间同步标定</x:v>
      </x:c>
      <x:c r="F291" s="31" t="str">
        <x:v>A｜建议你主讲</x:v>
      </x:c>
      <x:c r="G291" s="31" t="str">
        <x:v>你主讲</x:v>
      </x:c>
      <x:c r="H291" s="31" t="str">
        <x:v>依赖真实项目决策、波形判断或完整调试经验，适合由课程负责人讲清工程取舍。</x:v>
      </x:c>
      <x:c r="I291" s="31" t="str">
        <x:v>方法讲解＋实测数据＋问题复盘</x:v>
      </x:c>
      <x:c r="J291" s="31" t="str">
        <x:v>讲稿、实验步骤、原始数据、处理脚本、结果说明</x:v>
      </x:c>
      <x:c r="K291" s="31" t="str">
        <x:v>核心</x:v>
      </x:c>
      <x:c r="L291" s="31" t="str">
        <x:v>待确认</x:v>
      </x:c>
      <x:c r="M291" s="31" t="str">
        <x:v>参考所属系列前序模块</x:v>
      </x:c>
      <x:c r="N291" s="31" t="str"/>
    </x:row>
    <x:row r="292" ht="42" customHeight="1">
      <x:c r="A292" s="31" t="str">
        <x:v>M4.03</x:v>
      </x:c>
      <x:c r="B292" s="31" t="str">
        <x:v>M</x:v>
      </x:c>
      <x:c r="C292" s="31" t="str">
        <x:v>M4</x:v>
      </x:c>
      <x:c r="D292" s="31" t="str">
        <x:v>机器人关节、力矩标定与柔顺交互</x:v>
      </x:c>
      <x:c r="E292" s="31" t="str">
        <x:v>双编码器位置/速度残差与传动状态监测</x:v>
      </x:c>
      <x:c r="F292" s="31" t="str">
        <x:v>A｜建议你主讲</x:v>
      </x:c>
      <x:c r="G292" s="31" t="str">
        <x:v>你主讲</x:v>
      </x:c>
      <x:c r="H292" s="31" t="str">
        <x:v>依赖真实项目决策、波形判断或完整调试经验，适合由课程负责人讲清工程取舍。</x:v>
      </x:c>
      <x:c r="I292" s="31" t="str">
        <x:v>原理讲解＋工程案例＋检查题</x:v>
      </x:c>
      <x:c r="J292" s="31" t="str">
        <x:v>讲稿、课件、示例、作业与答案</x:v>
      </x:c>
      <x:c r="K292" s="31" t="str">
        <x:v>核心</x:v>
      </x:c>
      <x:c r="L292" s="31" t="str">
        <x:v>待确认</x:v>
      </x:c>
      <x:c r="M292" s="31" t="str">
        <x:v>参考所属系列前序模块</x:v>
      </x:c>
      <x:c r="N292" s="31" t="str"/>
    </x:row>
    <x:row r="293" ht="42" customHeight="1">
      <x:c r="A293" s="31" t="str">
        <x:v>M4.04</x:v>
      </x:c>
      <x:c r="B293" s="31" t="str">
        <x:v>M</x:v>
      </x:c>
      <x:c r="C293" s="31" t="str">
        <x:v>M4</x:v>
      </x:c>
      <x:c r="D293" s="31" t="str">
        <x:v>机器人关节、力矩标定与柔顺交互</x:v>
      </x:c>
      <x:c r="E293" s="31" t="str">
        <x:v>电流、电机力矩与输出力矩标定</x:v>
      </x:c>
      <x:c r="F293" s="31" t="str">
        <x:v>A｜建议你主讲</x:v>
      </x:c>
      <x:c r="G293" s="31" t="str">
        <x:v>你主讲</x:v>
      </x:c>
      <x:c r="H293" s="31" t="str">
        <x:v>依赖真实项目决策、波形判断或完整调试经验，适合由课程负责人讲清工程取舍。</x:v>
      </x:c>
      <x:c r="I293" s="31" t="str">
        <x:v>方法讲解＋实测数据＋问题复盘</x:v>
      </x:c>
      <x:c r="J293" s="31" t="str">
        <x:v>讲稿、实验步骤、原始数据、处理脚本、结果说明</x:v>
      </x:c>
      <x:c r="K293" s="31" t="str">
        <x:v>核心</x:v>
      </x:c>
      <x:c r="L293" s="31" t="str">
        <x:v>待确认</x:v>
      </x:c>
      <x:c r="M293" s="31" t="str">
        <x:v>参考所属系列前序模块</x:v>
      </x:c>
      <x:c r="N293" s="31" t="str"/>
    </x:row>
    <x:row r="294" ht="42" customHeight="1">
      <x:c r="A294" s="31" t="str">
        <x:v>M4.05</x:v>
      </x:c>
      <x:c r="B294" s="31" t="str">
        <x:v>M</x:v>
      </x:c>
      <x:c r="C294" s="31" t="str">
        <x:v>M4</x:v>
      </x:c>
      <x:c r="D294" s="31" t="str">
        <x:v>机器人关节、力矩标定与柔顺交互</x:v>
      </x:c>
      <x:c r="E294" s="31" t="str">
        <x:v>输出 Nm/A、正反效率、温度与低速力矩 Map</x:v>
      </x:c>
      <x:c r="F294" s="31" t="str">
        <x:v>A｜建议你主讲</x:v>
      </x:c>
      <x:c r="G294" s="31" t="str">
        <x:v>你主讲</x:v>
      </x:c>
      <x:c r="H294" s="31" t="str">
        <x:v>依赖真实项目决策、波形判断或完整调试经验，适合由课程负责人讲清工程取舍。</x:v>
      </x:c>
      <x:c r="I294" s="31" t="str">
        <x:v>原理讲解＋工程案例＋检查题</x:v>
      </x:c>
      <x:c r="J294" s="31" t="str">
        <x:v>讲稿、课件、示例、作业与答案</x:v>
      </x:c>
      <x:c r="K294" s="31" t="str">
        <x:v>核心</x:v>
      </x:c>
      <x:c r="L294" s="31" t="str">
        <x:v>待确认</x:v>
      </x:c>
      <x:c r="M294" s="31" t="str">
        <x:v>参考所属系列前序模块</x:v>
      </x:c>
      <x:c r="N294" s="31" t="str"/>
    </x:row>
    <x:row r="295" ht="42" customHeight="1">
      <x:c r="A295" s="31" t="str">
        <x:v>M4.06</x:v>
      </x:c>
      <x:c r="B295" s="31" t="str">
        <x:v>M</x:v>
      </x:c>
      <x:c r="C295" s="31" t="str">
        <x:v>M4</x:v>
      </x:c>
      <x:c r="D295" s="31" t="str">
        <x:v>机器人关节、力矩标定与柔顺交互</x:v>
      </x:c>
      <x:c r="E295" s="31" t="str">
        <x:v>直接力矩模式、零力矩模式与回驱性能测试</x:v>
      </x:c>
      <x:c r="F295" s="31" t="str">
        <x:v>A｜建议你主讲</x:v>
      </x:c>
      <x:c r="G295" s="31" t="str">
        <x:v>你主讲</x:v>
      </x:c>
      <x:c r="H295" s="31" t="str">
        <x:v>依赖真实项目决策、波形判断或完整调试经验，适合由课程负责人讲清工程取舍。</x:v>
      </x:c>
      <x:c r="I295" s="31" t="str">
        <x:v>方法讲解＋实测数据＋问题复盘</x:v>
      </x:c>
      <x:c r="J295" s="31" t="str">
        <x:v>讲稿、实验步骤、原始数据、处理脚本、结果说明</x:v>
      </x:c>
      <x:c r="K295" s="31" t="str">
        <x:v>核心</x:v>
      </x:c>
      <x:c r="L295" s="31" t="str">
        <x:v>待确认</x:v>
      </x:c>
      <x:c r="M295" s="31" t="str">
        <x:v>参考所属系列前序模块</x:v>
      </x:c>
      <x:c r="N295" s="31" t="str"/>
    </x:row>
    <x:row r="296" ht="42" customHeight="1">
      <x:c r="A296" s="31" t="str">
        <x:v>M4.07</x:v>
      </x:c>
      <x:c r="B296" s="31" t="str">
        <x:v>M</x:v>
      </x:c>
      <x:c r="C296" s="31" t="str">
        <x:v>M4</x:v>
      </x:c>
      <x:c r="D296" s="31" t="str">
        <x:v>机器人关节、力矩标定与柔顺交互</x:v>
      </x:c>
      <x:c r="E296" s="31" t="str">
        <x:v>MIT 阻抗控制及 Kp、Kd、torqueff 分量验证</x:v>
      </x:c>
      <x:c r="F296" s="31" t="str">
        <x:v>A｜建议你主讲</x:v>
      </x:c>
      <x:c r="G296" s="31" t="str">
        <x:v>你主讲</x:v>
      </x:c>
      <x:c r="H296" s="31" t="str">
        <x:v>依赖真实项目决策、波形判断或完整调试经验，适合由课程负责人讲清工程取舍。</x:v>
      </x:c>
      <x:c r="I296" s="31" t="str">
        <x:v>原理讲解＋工程案例＋检查题</x:v>
      </x:c>
      <x:c r="J296" s="31" t="str">
        <x:v>讲稿、课件、示例、作业与答案</x:v>
      </x:c>
      <x:c r="K296" s="31" t="str">
        <x:v>核心</x:v>
      </x:c>
      <x:c r="L296" s="31" t="str">
        <x:v>待确认</x:v>
      </x:c>
      <x:c r="M296" s="31" t="str">
        <x:v>参考所属系列前序模块</x:v>
      </x:c>
      <x:c r="N296" s="31" t="str"/>
    </x:row>
    <x:row r="297" ht="42" customHeight="1">
      <x:c r="A297" s="31" t="str">
        <x:v>M4.08</x:v>
      </x:c>
      <x:c r="B297" s="31" t="str">
        <x:v>M</x:v>
      </x:c>
      <x:c r="C297" s="31" t="str">
        <x:v>M4</x:v>
      </x:c>
      <x:c r="D297" s="31" t="str">
        <x:v>机器人关节、力矩标定与柔顺交互</x:v>
      </x:c>
      <x:c r="E297" s="31" t="str">
        <x:v>实际关节刚度、阻尼与稳定工作范围测试</x:v>
      </x:c>
      <x:c r="F297" s="31" t="str">
        <x:v>A｜建议你主讲</x:v>
      </x:c>
      <x:c r="G297" s="31" t="str">
        <x:v>你主讲</x:v>
      </x:c>
      <x:c r="H297" s="31" t="str">
        <x:v>依赖真实项目决策、波形判断或完整调试经验，适合由课程负责人讲清工程取舍。</x:v>
      </x:c>
      <x:c r="I297" s="31" t="str">
        <x:v>方法讲解＋实测数据＋问题复盘</x:v>
      </x:c>
      <x:c r="J297" s="31" t="str">
        <x:v>讲稿、实验步骤、原始数据、处理脚本、结果说明</x:v>
      </x:c>
      <x:c r="K297" s="31" t="str">
        <x:v>核心</x:v>
      </x:c>
      <x:c r="L297" s="31" t="str">
        <x:v>待确认</x:v>
      </x:c>
      <x:c r="M297" s="31" t="str">
        <x:v>参考所属系列前序模块</x:v>
      </x:c>
      <x:c r="N297" s="31" t="str"/>
    </x:row>
    <x:row r="298" ht="42" customHeight="1">
      <x:c r="A298" s="31" t="str">
        <x:v>M4.09</x:v>
      </x:c>
      <x:c r="B298" s="31" t="str">
        <x:v>M</x:v>
      </x:c>
      <x:c r="C298" s="31" t="str">
        <x:v>M4</x:v>
      </x:c>
      <x:c r="D298" s="31" t="str">
        <x:v>机器人关节、力矩标定与柔顺交互</x:v>
      </x:c>
      <x:c r="E298" s="31" t="str">
        <x:v>减速器摩擦、效率、回差与传动柔性建模</x:v>
      </x:c>
      <x:c r="F298" s="31" t="str">
        <x:v>A｜建议你主讲</x:v>
      </x:c>
      <x:c r="G298" s="31" t="str">
        <x:v>你主讲</x:v>
      </x:c>
      <x:c r="H298" s="31" t="str">
        <x:v>依赖真实项目决策、波形判断或完整调试经验，适合由课程负责人讲清工程取舍。</x:v>
      </x:c>
      <x:c r="I298" s="31" t="str">
        <x:v>原理讲解＋工程案例＋检查题</x:v>
      </x:c>
      <x:c r="J298" s="31" t="str">
        <x:v>讲稿、课件、示例、作业与答案</x:v>
      </x:c>
      <x:c r="K298" s="31" t="str">
        <x:v>核心</x:v>
      </x:c>
      <x:c r="L298" s="31" t="str">
        <x:v>待确认</x:v>
      </x:c>
      <x:c r="M298" s="31" t="str">
        <x:v>参考所属系列前序模块</x:v>
      </x:c>
      <x:c r="N298" s="31" t="str"/>
    </x:row>
    <x:row r="299" ht="42" customHeight="1">
      <x:c r="A299" s="31" t="str">
        <x:v>M4.10</x:v>
      </x:c>
      <x:c r="B299" s="31" t="str">
        <x:v>M</x:v>
      </x:c>
      <x:c r="C299" s="31" t="str">
        <x:v>M4</x:v>
      </x:c>
      <x:c r="D299" s="31" t="str">
        <x:v>机器人关节、力矩标定与柔顺交互</x:v>
      </x:c>
      <x:c r="E299" s="31" t="str">
        <x:v>SEA 弹性力矩估算与输出力矩闭环</x:v>
      </x:c>
      <x:c r="F299" s="31" t="str">
        <x:v>A｜建议你主讲</x:v>
      </x:c>
      <x:c r="G299" s="31" t="str">
        <x:v>你主讲</x:v>
      </x:c>
      <x:c r="H299" s="31" t="str">
        <x:v>依赖真实项目决策、波形判断或完整调试经验，适合由课程负责人讲清工程取舍。</x:v>
      </x:c>
      <x:c r="I299" s="31" t="str">
        <x:v>原理讲解＋工程案例＋检查题</x:v>
      </x:c>
      <x:c r="J299" s="31" t="str">
        <x:v>讲稿、课件、示例、作业与答案</x:v>
      </x:c>
      <x:c r="K299" s="31" t="str">
        <x:v>核心</x:v>
      </x:c>
      <x:c r="L299" s="31" t="str">
        <x:v>待确认</x:v>
      </x:c>
      <x:c r="M299" s="31" t="str">
        <x:v>参考所属系列前序模块</x:v>
      </x:c>
      <x:c r="N299" s="31" t="str"/>
    </x:row>
    <x:row r="300" ht="42" customHeight="1">
      <x:c r="A300" s="31" t="str">
        <x:v>M4.11</x:v>
      </x:c>
      <x:c r="B300" s="31" t="str">
        <x:v>M</x:v>
      </x:c>
      <x:c r="C300" s="31" t="str">
        <x:v>M4</x:v>
      </x:c>
      <x:c r="D300" s="31" t="str">
        <x:v>机器人关节、力矩标定与柔顺交互</x:v>
      </x:c>
      <x:c r="E300" s="31" t="str">
        <x:v>外力矩残差、扰动观测与碰撞检测</x:v>
      </x:c>
      <x:c r="F300" s="31" t="str">
        <x:v>A｜建议你主讲</x:v>
      </x:c>
      <x:c r="G300" s="31" t="str">
        <x:v>你主讲</x:v>
      </x:c>
      <x:c r="H300" s="31" t="str">
        <x:v>依赖真实项目决策、波形判断或完整调试经验，适合由课程负责人讲清工程取舍。</x:v>
      </x:c>
      <x:c r="I300" s="31" t="str">
        <x:v>原理讲解＋工程案例＋检查题</x:v>
      </x:c>
      <x:c r="J300" s="31" t="str">
        <x:v>讲稿、课件、示例、作业与答案</x:v>
      </x:c>
      <x:c r="K300" s="31" t="str">
        <x:v>核心</x:v>
      </x:c>
      <x:c r="L300" s="31" t="str">
        <x:v>待确认</x:v>
      </x:c>
      <x:c r="M300" s="31" t="str">
        <x:v>参考所属系列前序模块</x:v>
      </x:c>
      <x:c r="N300" s="31" t="str"/>
    </x:row>
    <x:row r="301" ht="42" customHeight="1">
      <x:c r="A301" s="31" t="str">
        <x:v>M4.12</x:v>
      </x:c>
      <x:c r="B301" s="31" t="str">
        <x:v>M</x:v>
      </x:c>
      <x:c r="C301" s="31" t="str">
        <x:v>M4</x:v>
      </x:c>
      <x:c r="D301" s="31" t="str">
        <x:v>机器人关节、力矩标定与柔顺交互</x:v>
      </x:c>
      <x:c r="E301" s="31" t="str">
        <x:v>碰撞后的限力矩、阻尼、零力矩与安全停机</x:v>
      </x:c>
      <x:c r="F301" s="31" t="str">
        <x:v>A｜建议你主讲</x:v>
      </x:c>
      <x:c r="G301" s="31" t="str">
        <x:v>你主讲</x:v>
      </x:c>
      <x:c r="H301" s="31" t="str">
        <x:v>依赖真实项目决策、波形判断或完整调试经验，适合由课程负责人讲清工程取舍。</x:v>
      </x:c>
      <x:c r="I301" s="31" t="str">
        <x:v>原理讲解＋工程案例＋检查题</x:v>
      </x:c>
      <x:c r="J301" s="31" t="str">
        <x:v>讲稿、课件、示例、作业与答案</x:v>
      </x:c>
      <x:c r="K301" s="31" t="str">
        <x:v>核心</x:v>
      </x:c>
      <x:c r="L301" s="31" t="str">
        <x:v>待确认</x:v>
      </x:c>
      <x:c r="M301" s="31" t="str">
        <x:v>参考所属系列前序模块</x:v>
      </x:c>
      <x:c r="N301" s="31" t="str"/>
    </x:row>
    <x:row r="302" ht="42" customHeight="1">
      <x:c r="A302" s="31" t="str">
        <x:v>M4.13</x:v>
      </x:c>
      <x:c r="B302" s="31" t="str">
        <x:v>M</x:v>
      </x:c>
      <x:c r="C302" s="31" t="str">
        <x:v>M4</x:v>
      </x:c>
      <x:c r="D302" s="31" t="str">
        <x:v>机器人关节、力矩标定与柔顺交互</x:v>
      </x:c>
      <x:c r="E302" s="31" t="str">
        <x:v>软/硬限位、功率、温度、堵转与通信看门狗</x:v>
      </x:c>
      <x:c r="F302" s="31" t="str">
        <x:v>A｜建议你主讲</x:v>
      </x:c>
      <x:c r="G302" s="31" t="str">
        <x:v>你主讲</x:v>
      </x:c>
      <x:c r="H302" s="31" t="str">
        <x:v>依赖真实项目决策、波形判断或完整调试经验，适合由课程负责人讲清工程取舍。</x:v>
      </x:c>
      <x:c r="I302" s="31" t="str">
        <x:v>原理＋代码演示＋最小练习</x:v>
      </x:c>
      <x:c r="J302" s="31" t="str">
        <x:v>讲稿、可运行代码、配置说明、最小测试</x:v>
      </x:c>
      <x:c r="K302" s="31" t="str">
        <x:v>核心</x:v>
      </x:c>
      <x:c r="L302" s="31" t="str">
        <x:v>待确认</x:v>
      </x:c>
      <x:c r="M302" s="31" t="str">
        <x:v>参考所属系列前序模块</x:v>
      </x:c>
      <x:c r="N302" s="31" t="str"/>
    </x:row>
    <x:row r="303" ht="42" customHeight="1">
      <x:c r="A303" s="31" t="str">
        <x:v>M4.14</x:v>
      </x:c>
      <x:c r="B303" s="31" t="str">
        <x:v>M</x:v>
      </x:c>
      <x:c r="C303" s="31" t="str">
        <x:v>M4</x:v>
      </x:c>
      <x:c r="D303" s="31" t="str">
        <x:v>机器人关节、力矩标定与柔顺交互</x:v>
      </x:c>
      <x:c r="E303" s="31" t="str">
        <x:v>关节仿真、力矩、阻抗和碰撞标准测试</x:v>
      </x:c>
      <x:c r="F303" s="31" t="str">
        <x:v>A｜建议你主讲</x:v>
      </x:c>
      <x:c r="G303" s="31" t="str">
        <x:v>你主讲</x:v>
      </x:c>
      <x:c r="H303" s="31" t="str">
        <x:v>依赖真实项目决策、波形判断或完整调试经验，适合由课程负责人讲清工程取舍。</x:v>
      </x:c>
      <x:c r="I303" s="31" t="str">
        <x:v>方法讲解＋实测数据＋问题复盘</x:v>
      </x:c>
      <x:c r="J303" s="31" t="str">
        <x:v>讲稿、实验步骤、原始数据、处理脚本、结果说明</x:v>
      </x:c>
      <x:c r="K303" s="31" t="str">
        <x:v>核心</x:v>
      </x:c>
      <x:c r="L303" s="31" t="str">
        <x:v>待确认</x:v>
      </x:c>
      <x:c r="M303" s="31" t="str">
        <x:v>参考所属系列前序模块</x:v>
      </x:c>
      <x:c r="N303" s="31" t="str"/>
    </x:row>
    <x:row r="304" ht="42" customHeight="1">
      <x:c r="A304" s="31" t="str">
        <x:v>M5.01</x:v>
      </x:c>
      <x:c r="B304" s="31" t="str">
        <x:v>M</x:v>
      </x:c>
      <x:c r="C304" s="31" t="str">
        <x:v>M5</x:v>
      </x:c>
      <x:c r="D304" s="31" t="str">
        <x:v>电驱性能边界、效率、噪声与补偿</x:v>
      </x:c>
      <x:c r="E304" s="31" t="str">
        <x:v>电流、电压、转速、功率与温度约束下的能力区域</x:v>
      </x:c>
      <x:c r="F304" s="31" t="str">
        <x:v>B｜你主讲，专项老师补充</x:v>
      </x:c>
      <x:c r="G304" s="31" t="str">
        <x:v>你主讲，专项老师补充</x:v>
      </x:c>
      <x:c r="H304" s="31" t="str">
        <x:v>属于核心专项，课程负责人控制主线，再由有实机经验的老师补充算法细节和适用边界。</x:v>
      </x:c>
      <x:c r="I304" s="31" t="str">
        <x:v>原理讲解＋工程案例＋检查题</x:v>
      </x:c>
      <x:c r="J304" s="31" t="str">
        <x:v>讲稿、课件、示例、作业与答案</x:v>
      </x:c>
      <x:c r="K304" s="31" t="str">
        <x:v>重要</x:v>
      </x:c>
      <x:c r="L304" s="31" t="str">
        <x:v>待确认</x:v>
      </x:c>
      <x:c r="M304" s="31" t="str">
        <x:v>参考所属系列前序模块</x:v>
      </x:c>
      <x:c r="N304" s="31" t="str"/>
    </x:row>
    <x:row r="305" ht="42" customHeight="1">
      <x:c r="A305" s="31" t="str">
        <x:v>M5.02</x:v>
      </x:c>
      <x:c r="B305" s="31" t="str">
        <x:v>M</x:v>
      </x:c>
      <x:c r="C305" s="31" t="str">
        <x:v>M5</x:v>
      </x:c>
      <x:c r="D305" s="31" t="str">
        <x:v>电驱性能边界、效率、噪声与补偿</x:v>
      </x:c>
      <x:c r="E305" s="31" t="str">
        <x:v>死区、器件压降、开关延迟与最小脉宽造成的电压误差</x:v>
      </x:c>
      <x:c r="F305" s="31" t="str">
        <x:v>B｜你主讲，专项老师补充</x:v>
      </x:c>
      <x:c r="G305" s="31" t="str">
        <x:v>你主讲，专项老师补充</x:v>
      </x:c>
      <x:c r="H305" s="31" t="str">
        <x:v>属于核心专项，课程负责人控制主线，再由有实机经验的老师补充算法细节和适用边界。</x:v>
      </x:c>
      <x:c r="I305" s="31" t="str">
        <x:v>原理讲解＋工程案例＋检查题</x:v>
      </x:c>
      <x:c r="J305" s="31" t="str">
        <x:v>讲稿、课件、示例、作业与答案</x:v>
      </x:c>
      <x:c r="K305" s="31" t="str">
        <x:v>重要</x:v>
      </x:c>
      <x:c r="L305" s="31" t="str">
        <x:v>待确认</x:v>
      </x:c>
      <x:c r="M305" s="31" t="str">
        <x:v>参考所属系列前序模块</x:v>
      </x:c>
      <x:c r="N305" s="31" t="str"/>
    </x:row>
    <x:row r="306" ht="42" customHeight="1">
      <x:c r="A306" s="31" t="str">
        <x:v>M5.03</x:v>
      </x:c>
      <x:c r="B306" s="31" t="str">
        <x:v>M</x:v>
      </x:c>
      <x:c r="C306" s="31" t="str">
        <x:v>M5</x:v>
      </x:c>
      <x:c r="D306" s="31" t="str">
        <x:v>电驱性能边界、效率、噪声与补偿</x:v>
      </x:c>
      <x:c r="E306" s="31" t="str">
        <x:v>电流方向判断、死区渐变补偿与实际相电压验证</x:v>
      </x:c>
      <x:c r="F306" s="31" t="str">
        <x:v>B｜你主讲，专项老师补充</x:v>
      </x:c>
      <x:c r="G306" s="31" t="str">
        <x:v>你主讲，专项老师补充</x:v>
      </x:c>
      <x:c r="H306" s="31" t="str">
        <x:v>属于核心专项，课程负责人控制主线，再由有实机经验的老师补充算法细节和适用边界。</x:v>
      </x:c>
      <x:c r="I306" s="31" t="str">
        <x:v>原理讲解＋工程案例＋检查题</x:v>
      </x:c>
      <x:c r="J306" s="31" t="str">
        <x:v>讲稿、课件、示例、作业与答案</x:v>
      </x:c>
      <x:c r="K306" s="31" t="str">
        <x:v>重要</x:v>
      </x:c>
      <x:c r="L306" s="31" t="str">
        <x:v>待确认</x:v>
      </x:c>
      <x:c r="M306" s="31" t="str">
        <x:v>参考所属系列前序模块</x:v>
      </x:c>
      <x:c r="N306" s="31" t="str"/>
    </x:row>
    <x:row r="307" ht="42" customHeight="1">
      <x:c r="A307" s="31" t="str">
        <x:v>M5.04</x:v>
      </x:c>
      <x:c r="B307" s="31" t="str">
        <x:v>M</x:v>
      </x:c>
      <x:c r="C307" s="31" t="str">
        <x:v>M5</x:v>
      </x:c>
      <x:c r="D307" s="31" t="str">
        <x:v>电驱性能边界、效率、噪声与补偿</x:v>
      </x:c>
      <x:c r="E307" s="31" t="str">
        <x:v>SVPWM、五段式、DPWM 与开关损耗对比</x:v>
      </x:c>
      <x:c r="F307" s="31" t="str">
        <x:v>B｜你主讲，专项老师补充</x:v>
      </x:c>
      <x:c r="G307" s="31" t="str">
        <x:v>你主讲，专项老师补充</x:v>
      </x:c>
      <x:c r="H307" s="31" t="str">
        <x:v>属于核心专项，课程负责人控制主线，再由有实机经验的老师补充算法细节和适用边界。</x:v>
      </x:c>
      <x:c r="I307" s="31" t="str">
        <x:v>原理讲解＋工程案例＋检查题</x:v>
      </x:c>
      <x:c r="J307" s="31" t="str">
        <x:v>讲稿、课件、示例、作业与答案</x:v>
      </x:c>
      <x:c r="K307" s="31" t="str">
        <x:v>重要</x:v>
      </x:c>
      <x:c r="L307" s="31" t="str">
        <x:v>待确认</x:v>
      </x:c>
      <x:c r="M307" s="31" t="str">
        <x:v>参考所属系列前序模块</x:v>
      </x:c>
      <x:c r="N307" s="31" t="str"/>
    </x:row>
    <x:row r="308" ht="42" customHeight="1">
      <x:c r="A308" s="31" t="str">
        <x:v>M5.05</x:v>
      </x:c>
      <x:c r="B308" s="31" t="str">
        <x:v>M</x:v>
      </x:c>
      <x:c r="C308" s="31" t="str">
        <x:v>M5</x:v>
      </x:c>
      <x:c r="D308" s="31" t="str">
        <x:v>电驱性能边界、效率、噪声与补偿</x:v>
      </x:c>
      <x:c r="E308" s="31" t="str">
        <x:v>线性区、过调制、六步边界与母线利用率测试</x:v>
      </x:c>
      <x:c r="F308" s="31" t="str">
        <x:v>B｜你主讲，专项老师补充</x:v>
      </x:c>
      <x:c r="G308" s="31" t="str">
        <x:v>你主讲，专项老师补充</x:v>
      </x:c>
      <x:c r="H308" s="31" t="str">
        <x:v>属于核心专项，课程负责人控制主线，再由有实机经验的老师补充算法细节和适用边界。</x:v>
      </x:c>
      <x:c r="I308" s="31" t="str">
        <x:v>方法讲解＋实测数据＋问题复盘</x:v>
      </x:c>
      <x:c r="J308" s="31" t="str">
        <x:v>讲稿、实验步骤、原始数据、处理脚本、结果说明</x:v>
      </x:c>
      <x:c r="K308" s="31" t="str">
        <x:v>重要</x:v>
      </x:c>
      <x:c r="L308" s="31" t="str">
        <x:v>待确认</x:v>
      </x:c>
      <x:c r="M308" s="31" t="str">
        <x:v>参考所属系列前序模块</x:v>
      </x:c>
      <x:c r="N308" s="31" t="str"/>
    </x:row>
    <x:row r="309" ht="42" customHeight="1">
      <x:c r="A309" s="31" t="str">
        <x:v>M5.06</x:v>
      </x:c>
      <x:c r="B309" s="31" t="str">
        <x:v>M</x:v>
      </x:c>
      <x:c r="C309" s="31" t="str">
        <x:v>M5</x:v>
      </x:c>
      <x:c r="D309" s="31" t="str">
        <x:v>电驱性能边界、效率、噪声与补偿</x:v>
      </x:c>
      <x:c r="E309" s="31" t="str">
        <x:v>高电压利用率区电流控制与预测控制扩展</x:v>
      </x:c>
      <x:c r="F309" s="31" t="str">
        <x:v>B｜你主讲，专项老师补充</x:v>
      </x:c>
      <x:c r="G309" s="31" t="str">
        <x:v>你主讲，专项老师补充</x:v>
      </x:c>
      <x:c r="H309" s="31" t="str">
        <x:v>属于核心专项，课程负责人控制主线，再由有实机经验的老师补充算法细节和适用边界。</x:v>
      </x:c>
      <x:c r="I309" s="31" t="str">
        <x:v>原理讲解＋工程案例＋检查题</x:v>
      </x:c>
      <x:c r="J309" s="31" t="str">
        <x:v>讲稿、课件、示例、作业与答案</x:v>
      </x:c>
      <x:c r="K309" s="31" t="str">
        <x:v>重要</x:v>
      </x:c>
      <x:c r="L309" s="31" t="str">
        <x:v>待确认</x:v>
      </x:c>
      <x:c r="M309" s="31" t="str">
        <x:v>参考所属系列前序模块</x:v>
      </x:c>
      <x:c r="N309" s="31" t="str"/>
    </x:row>
    <x:row r="310" ht="42" customHeight="1">
      <x:c r="A310" s="31" t="str">
        <x:v>M5.07</x:v>
      </x:c>
      <x:c r="B310" s="31" t="str">
        <x:v>M</x:v>
      </x:c>
      <x:c r="C310" s="31" t="str">
        <x:v>M5</x:v>
      </x:c>
      <x:c r="D310" s="31" t="str">
        <x:v>电驱性能边界、效率、噪声与补偿</x:v>
      </x:c>
      <x:c r="E310" s="31" t="str">
        <x:v>IPMSM MTPA 电流分配、参数 Map 与收益验证</x:v>
      </x:c>
      <x:c r="F310" s="31" t="str">
        <x:v>B｜你主讲，专项老师补充</x:v>
      </x:c>
      <x:c r="G310" s="31" t="str">
        <x:v>你主讲，专项老师补充</x:v>
      </x:c>
      <x:c r="H310" s="31" t="str">
        <x:v>属于核心专项，课程负责人控制主线，再由有实机经验的老师补充算法细节和适用边界。</x:v>
      </x:c>
      <x:c r="I310" s="31" t="str">
        <x:v>原理讲解＋工程案例＋检查题</x:v>
      </x:c>
      <x:c r="J310" s="31" t="str">
        <x:v>讲稿、课件、示例、作业与答案</x:v>
      </x:c>
      <x:c r="K310" s="31" t="str">
        <x:v>重要</x:v>
      </x:c>
      <x:c r="L310" s="31" t="str">
        <x:v>待确认</x:v>
      </x:c>
      <x:c r="M310" s="31" t="str">
        <x:v>参考所属系列前序模块</x:v>
      </x:c>
      <x:c r="N310" s="31" t="str"/>
    </x:row>
    <x:row r="311" ht="42" customHeight="1">
      <x:c r="A311" s="31" t="str">
        <x:v>M5.08</x:v>
      </x:c>
      <x:c r="B311" s="31" t="str">
        <x:v>M</x:v>
      </x:c>
      <x:c r="C311" s="31" t="str">
        <x:v>M5</x:v>
      </x:c>
      <x:c r="D311" s="31" t="str">
        <x:v>电驱性能边界、效率、噪声与补偿</x:v>
      </x:c>
      <x:c r="E311" s="31" t="str">
        <x:v>弱磁、恒功率区与电流/电压约束协调</x:v>
      </x:c>
      <x:c r="F311" s="31" t="str">
        <x:v>B｜你主讲，专项老师补充</x:v>
      </x:c>
      <x:c r="G311" s="31" t="str">
        <x:v>你主讲，专项老师补充</x:v>
      </x:c>
      <x:c r="H311" s="31" t="str">
        <x:v>属于核心专项，课程负责人控制主线，再由有实机经验的老师补充算法细节和适用边界。</x:v>
      </x:c>
      <x:c r="I311" s="31" t="str">
        <x:v>原理讲解＋工程案例＋检查题</x:v>
      </x:c>
      <x:c r="J311" s="31" t="str">
        <x:v>讲稿、课件、示例、作业与答案</x:v>
      </x:c>
      <x:c r="K311" s="31" t="str">
        <x:v>重要</x:v>
      </x:c>
      <x:c r="L311" s="31" t="str">
        <x:v>待确认</x:v>
      </x:c>
      <x:c r="M311" s="31" t="str">
        <x:v>参考所属系列前序模块</x:v>
      </x:c>
      <x:c r="N311" s="31" t="str"/>
    </x:row>
    <x:row r="312" ht="42" customHeight="1">
      <x:c r="A312" s="31" t="str">
        <x:v>M5.09</x:v>
      </x:c>
      <x:c r="B312" s="31" t="str">
        <x:v>M</x:v>
      </x:c>
      <x:c r="C312" s="31" t="str">
        <x:v>M5</x:v>
      </x:c>
      <x:c r="D312" s="31" t="str">
        <x:v>电驱性能边界、效率、噪声与补偿</x:v>
      </x:c>
      <x:c r="E312" s="31" t="str">
        <x:v>MTPV、最大速度、退磁风险与高速稳定性</x:v>
      </x:c>
      <x:c r="F312" s="31" t="str">
        <x:v>B｜你主讲，专项老师补充</x:v>
      </x:c>
      <x:c r="G312" s="31" t="str">
        <x:v>你主讲，专项老师补充</x:v>
      </x:c>
      <x:c r="H312" s="31" t="str">
        <x:v>属于核心专项，课程负责人控制主线，再由有实机经验的老师补充算法细节和适用边界。</x:v>
      </x:c>
      <x:c r="I312" s="31" t="str">
        <x:v>原理讲解＋工程案例＋检查题</x:v>
      </x:c>
      <x:c r="J312" s="31" t="str">
        <x:v>讲稿、课件、示例、作业与答案</x:v>
      </x:c>
      <x:c r="K312" s="31" t="str">
        <x:v>重要</x:v>
      </x:c>
      <x:c r="L312" s="31" t="str">
        <x:v>待确认</x:v>
      </x:c>
      <x:c r="M312" s="31" t="str">
        <x:v>参考所属系列前序模块</x:v>
      </x:c>
      <x:c r="N312" s="31" t="str"/>
    </x:row>
    <x:row r="313" ht="42" customHeight="1">
      <x:c r="A313" s="31" t="str">
        <x:v>M5.10</x:v>
      </x:c>
      <x:c r="B313" s="31" t="str">
        <x:v>M</x:v>
      </x:c>
      <x:c r="C313" s="31" t="str">
        <x:v>M5</x:v>
      </x:c>
      <x:c r="D313" s="31" t="str">
        <x:v>电驱性能边界、效率、噪声与补偿</x:v>
      </x:c>
      <x:c r="E313" s="31" t="str">
        <x:v>反电势谐波、电流谐波与转矩纹波补偿</x:v>
      </x:c>
      <x:c r="F313" s="31" t="str">
        <x:v>B｜你主讲，专项老师补充</x:v>
      </x:c>
      <x:c r="G313" s="31" t="str">
        <x:v>你主讲，专项老师补充</x:v>
      </x:c>
      <x:c r="H313" s="31" t="str">
        <x:v>属于核心专项，课程负责人控制主线，再由有实机经验的老师补充算法细节和适用边界。</x:v>
      </x:c>
      <x:c r="I313" s="31" t="str">
        <x:v>原理讲解＋工程案例＋检查题</x:v>
      </x:c>
      <x:c r="J313" s="31" t="str">
        <x:v>讲稿、课件、示例、作业与答案</x:v>
      </x:c>
      <x:c r="K313" s="31" t="str">
        <x:v>重要</x:v>
      </x:c>
      <x:c r="L313" s="31" t="str">
        <x:v>待确认</x:v>
      </x:c>
      <x:c r="M313" s="31" t="str">
        <x:v>参考所属系列前序模块</x:v>
      </x:c>
      <x:c r="N313" s="31" t="str"/>
    </x:row>
    <x:row r="314" ht="42" customHeight="1">
      <x:c r="A314" s="31" t="str">
        <x:v>M5.11</x:v>
      </x:c>
      <x:c r="B314" s="31" t="str">
        <x:v>M</x:v>
      </x:c>
      <x:c r="C314" s="31" t="str">
        <x:v>M5</x:v>
      </x:c>
      <x:c r="D314" s="31" t="str">
        <x:v>电驱性能边界、效率、噪声与补偿</x:v>
      </x:c>
      <x:c r="E314" s="31" t="str">
        <x:v>电磁阶次、开关策略、高频注入与声学优化</x:v>
      </x:c>
      <x:c r="F314" s="31" t="str">
        <x:v>B｜你主讲，专项老师补充</x:v>
      </x:c>
      <x:c r="G314" s="31" t="str">
        <x:v>你主讲，专项老师补充</x:v>
      </x:c>
      <x:c r="H314" s="31" t="str">
        <x:v>属于核心专项，课程负责人控制主线，再由有实机经验的老师补充算法细节和适用边界。</x:v>
      </x:c>
      <x:c r="I314" s="31" t="str">
        <x:v>原理讲解＋工程案例＋检查题</x:v>
      </x:c>
      <x:c r="J314" s="31" t="str">
        <x:v>讲稿、课件、示例、作业与答案</x:v>
      </x:c>
      <x:c r="K314" s="31" t="str">
        <x:v>重要</x:v>
      </x:c>
      <x:c r="L314" s="31" t="str">
        <x:v>待确认</x:v>
      </x:c>
      <x:c r="M314" s="31" t="str">
        <x:v>参考所属系列前序模块</x:v>
      </x:c>
      <x:c r="N314" s="31" t="str"/>
    </x:row>
    <x:row r="315" ht="42" customHeight="1">
      <x:c r="A315" s="31" t="str">
        <x:v>M5.12</x:v>
      </x:c>
      <x:c r="B315" s="31" t="str">
        <x:v>M</x:v>
      </x:c>
      <x:c r="C315" s="31" t="str">
        <x:v>M5</x:v>
      </x:c>
      <x:c r="D315" s="31" t="str">
        <x:v>电驱性能边界、效率、噪声与补偿</x:v>
      </x:c>
      <x:c r="E315" s="31" t="str">
        <x:v>回馈、母线过压、制动与能量处理</x:v>
      </x:c>
      <x:c r="F315" s="31" t="str">
        <x:v>B｜你主讲，专项老师补充</x:v>
      </x:c>
      <x:c r="G315" s="31" t="str">
        <x:v>你主讲，专项老师补充</x:v>
      </x:c>
      <x:c r="H315" s="31" t="str">
        <x:v>属于核心专项，课程负责人控制主线，再由有实机经验的老师补充算法细节和适用边界。</x:v>
      </x:c>
      <x:c r="I315" s="31" t="str">
        <x:v>原理讲解＋工程案例＋检查题</x:v>
      </x:c>
      <x:c r="J315" s="31" t="str">
        <x:v>讲稿、课件、示例、作业与答案</x:v>
      </x:c>
      <x:c r="K315" s="31" t="str">
        <x:v>重要</x:v>
      </x:c>
      <x:c r="L315" s="31" t="str">
        <x:v>待确认</x:v>
      </x:c>
      <x:c r="M315" s="31" t="str">
        <x:v>参考所属系列前序模块</x:v>
      </x:c>
      <x:c r="N315" s="31" t="str"/>
    </x:row>
    <x:row r="316" ht="42" customHeight="1">
      <x:c r="A316" s="31" t="str">
        <x:v>M5.13</x:v>
      </x:c>
      <x:c r="B316" s="31" t="str">
        <x:v>M</x:v>
      </x:c>
      <x:c r="C316" s="31" t="str">
        <x:v>M5</x:v>
      </x:c>
      <x:c r="D316" s="31" t="str">
        <x:v>电驱性能边界、效率、噪声与补偿</x:v>
      </x:c>
      <x:c r="E316" s="31" t="str">
        <x:v>铜耗、铁耗、逆变器损耗、温升与热降额</x:v>
      </x:c>
      <x:c r="F316" s="31" t="str">
        <x:v>B｜你主讲，专项老师补充</x:v>
      </x:c>
      <x:c r="G316" s="31" t="str">
        <x:v>你主讲，专项老师补充</x:v>
      </x:c>
      <x:c r="H316" s="31" t="str">
        <x:v>属于核心专项，课程负责人控制主线，再由有实机经验的老师补充算法细节和适用边界。</x:v>
      </x:c>
      <x:c r="I316" s="31" t="str">
        <x:v>原理图/计算＋板级测试</x:v>
      </x:c>
      <x:c r="J316" s="31" t="str">
        <x:v>讲稿、原理图/计算、板级测试记录、检查清单</x:v>
      </x:c>
      <x:c r="K316" s="31" t="str">
        <x:v>重要</x:v>
      </x:c>
      <x:c r="L316" s="31" t="str">
        <x:v>待确认</x:v>
      </x:c>
      <x:c r="M316" s="31" t="str">
        <x:v>参考所属系列前序模块</x:v>
      </x:c>
      <x:c r="N316" s="31" t="str"/>
    </x:row>
    <x:row r="317" ht="42" customHeight="1">
      <x:c r="A317" s="31" t="str">
        <x:v>M5.14</x:v>
      </x:c>
      <x:c r="B317" s="31" t="str">
        <x:v>M</x:v>
      </x:c>
      <x:c r="C317" s="31" t="str">
        <x:v>M5</x:v>
      </x:c>
      <x:c r="D317" s="31" t="str">
        <x:v>电驱性能边界、效率、噪声与补偿</x:v>
      </x:c>
      <x:c r="E317" s="31" t="str">
        <x:v>速度—转矩—效率—温度综合能力地图与极限测试</x:v>
      </x:c>
      <x:c r="F317" s="31" t="str">
        <x:v>B｜你主讲，专项老师补充</x:v>
      </x:c>
      <x:c r="G317" s="31" t="str">
        <x:v>你主讲，专项老师补充</x:v>
      </x:c>
      <x:c r="H317" s="31" t="str">
        <x:v>属于核心专项，课程负责人控制主线，再由有实机经验的老师补充算法细节和适用边界。</x:v>
      </x:c>
      <x:c r="I317" s="31" t="str">
        <x:v>方法讲解＋实测数据＋问题复盘</x:v>
      </x:c>
      <x:c r="J317" s="31" t="str">
        <x:v>讲稿、实验步骤、原始数据、处理脚本、结果说明</x:v>
      </x:c>
      <x:c r="K317" s="31" t="str">
        <x:v>重要</x:v>
      </x:c>
      <x:c r="L317" s="31" t="str">
        <x:v>待确认</x:v>
      </x:c>
      <x:c r="M317" s="31" t="str">
        <x:v>参考所属系列前序模块</x:v>
      </x:c>
      <x:c r="N317" s="31" t="str"/>
    </x:row>
    <x:row r="318" ht="42" customHeight="1">
      <x:c r="A318" s="31" t="str">
        <x:v>M6.01</x:v>
      </x:c>
      <x:c r="B318" s="31" t="str">
        <x:v>M</x:v>
      </x:c>
      <x:c r="C318" s="31" t="str">
        <x:v>M6</x:v>
      </x:c>
      <x:c r="D318" s="31" t="str">
        <x:v>模型化开发、自动代码生成与虚实对比</x:v>
      </x:c>
      <x:c r="E318" s="31" t="str">
        <x:v>生产级模型输入、输出、状态、参数与采样周期规范</x:v>
      </x:c>
      <x:c r="F318" s="31" t="str">
        <x:v>C｜专项老师主讲，你负责衔接与验收</x:v>
      </x:c>
      <x:c r="G318" s="31" t="str">
        <x:v>专项老师主讲，你负责课程衔接与验收</x:v>
      </x:c>
      <x:c r="H318" s="31" t="str">
        <x:v>需要较强的专项设计或产品化经验，建议由对应专家主讲，课程负责人负责与主线衔接。</x:v>
      </x:c>
      <x:c r="I318" s="31" t="str">
        <x:v>原理＋模型＋对比验证</x:v>
      </x:c>
      <x:c r="J318" s="31" t="str">
        <x:v>讲稿、模型、参数说明、对比结果</x:v>
      </x:c>
      <x:c r="K318" s="31" t="str">
        <x:v>按需</x:v>
      </x:c>
      <x:c r="L318" s="31" t="str">
        <x:v>待确认</x:v>
      </x:c>
      <x:c r="M318" s="31" t="str">
        <x:v>参考所属系列前序模块</x:v>
      </x:c>
      <x:c r="N318" s="31" t="str"/>
    </x:row>
    <x:row r="319" ht="42" customHeight="1">
      <x:c r="A319" s="31" t="str">
        <x:v>M6.02</x:v>
      </x:c>
      <x:c r="B319" s="31" t="str">
        <x:v>M</x:v>
      </x:c>
      <x:c r="C319" s="31" t="str">
        <x:v>M6</x:v>
      </x:c>
      <x:c r="D319" s="31" t="str">
        <x:v>模型化开发、自动代码生成与虚实对比</x:v>
      </x:c>
      <x:c r="E319" s="31" t="str">
        <x:v>Init、Reset、Step、限幅、Wrap、有效状态与诊断定义</x:v>
      </x:c>
      <x:c r="F319" s="31" t="str">
        <x:v>C｜专项老师主讲，你负责衔接与验收</x:v>
      </x:c>
      <x:c r="G319" s="31" t="str">
        <x:v>专项老师主讲，你负责课程衔接与验收</x:v>
      </x:c>
      <x:c r="H319" s="31" t="str">
        <x:v>需要较强的专项设计或产品化经验，建议由对应专家主讲，课程负责人负责与主线衔接。</x:v>
      </x:c>
      <x:c r="I319" s="31" t="str">
        <x:v>原理讲解＋工程案例＋检查题</x:v>
      </x:c>
      <x:c r="J319" s="31" t="str">
        <x:v>讲稿、课件、示例、作业与答案</x:v>
      </x:c>
      <x:c r="K319" s="31" t="str">
        <x:v>按需</x:v>
      </x:c>
      <x:c r="L319" s="31" t="str">
        <x:v>待确认</x:v>
      </x:c>
      <x:c r="M319" s="31" t="str">
        <x:v>参考所属系列前序模块</x:v>
      </x:c>
      <x:c r="N319" s="31" t="str"/>
    </x:row>
    <x:row r="320" ht="42" customHeight="1">
      <x:c r="A320" s="31" t="str">
        <x:v>M6.03</x:v>
      </x:c>
      <x:c r="B320" s="31" t="str">
        <x:v>M</x:v>
      </x:c>
      <x:c r="C320" s="31" t="str">
        <x:v>M6</x:v>
      </x:c>
      <x:c r="D320" s="31" t="str">
        <x:v>模型化开发、自动代码生成与虚实对比</x:v>
      </x:c>
      <x:c r="E320" s="31" t="str">
        <x:v>PMSM、逆变器、传感器、延迟与机械 Plant 建模</x:v>
      </x:c>
      <x:c r="F320" s="31" t="str">
        <x:v>C｜专项老师主讲，你负责衔接与验收</x:v>
      </x:c>
      <x:c r="G320" s="31" t="str">
        <x:v>专项老师主讲，你负责课程衔接与验收</x:v>
      </x:c>
      <x:c r="H320" s="31" t="str">
        <x:v>需要较强的专项设计或产品化经验，建议由对应专家主讲，课程负责人负责与主线衔接。</x:v>
      </x:c>
      <x:c r="I320" s="31" t="str">
        <x:v>原理讲解＋工程案例＋检查题</x:v>
      </x:c>
      <x:c r="J320" s="31" t="str">
        <x:v>讲稿、课件、示例、作业与答案</x:v>
      </x:c>
      <x:c r="K320" s="31" t="str">
        <x:v>按需</x:v>
      </x:c>
      <x:c r="L320" s="31" t="str">
        <x:v>待确认</x:v>
      </x:c>
      <x:c r="M320" s="31" t="str">
        <x:v>参考所属系列前序模块</x:v>
      </x:c>
      <x:c r="N320" s="31" t="str"/>
    </x:row>
    <x:row r="321" ht="42" customHeight="1">
      <x:c r="A321" s="31" t="str">
        <x:v>M6.04</x:v>
      </x:c>
      <x:c r="B321" s="31" t="str">
        <x:v>M</x:v>
      </x:c>
      <x:c r="C321" s="31" t="str">
        <x:v>M6</x:v>
      </x:c>
      <x:c r="D321" s="31" t="str">
        <x:v>模型化开发、自动代码生成与虚实对比</x:v>
      </x:c>
      <x:c r="E321" s="31" t="str">
        <x:v>MIL 算法测试、异常输入与自动断言</x:v>
      </x:c>
      <x:c r="F321" s="31" t="str">
        <x:v>C｜专项老师主讲，你负责衔接与验收</x:v>
      </x:c>
      <x:c r="G321" s="31" t="str">
        <x:v>专项老师主讲，你负责课程衔接与验收</x:v>
      </x:c>
      <x:c r="H321" s="31" t="str">
        <x:v>需要较强的专项设计或产品化经验，建议由对应专家主讲，课程负责人负责与主线衔接。</x:v>
      </x:c>
      <x:c r="I321" s="31" t="str">
        <x:v>方法讲解＋实测数据＋问题复盘</x:v>
      </x:c>
      <x:c r="J321" s="31" t="str">
        <x:v>讲稿、实验步骤、原始数据、处理脚本、结果说明</x:v>
      </x:c>
      <x:c r="K321" s="31" t="str">
        <x:v>按需</x:v>
      </x:c>
      <x:c r="L321" s="31" t="str">
        <x:v>待确认</x:v>
      </x:c>
      <x:c r="M321" s="31" t="str">
        <x:v>参考所属系列前序模块</x:v>
      </x:c>
      <x:c r="N321" s="31" t="str"/>
    </x:row>
    <x:row r="322" ht="42" customHeight="1">
      <x:c r="A322" s="31" t="str">
        <x:v>M6.05</x:v>
      </x:c>
      <x:c r="B322" s="31" t="str">
        <x:v>M</x:v>
      </x:c>
      <x:c r="C322" s="31" t="str">
        <x:v>M6</x:v>
      </x:c>
      <x:c r="D322" s="31" t="str">
        <x:v>模型化开发、自动代码生成与虚实对比</x:v>
      </x:c>
      <x:c r="E322" s="31" t="str">
        <x:v>Simulink 自动代码生成、数据类型与代码可读性</x:v>
      </x:c>
      <x:c r="F322" s="31" t="str">
        <x:v>C｜专项老师主讲，你负责衔接与验收</x:v>
      </x:c>
      <x:c r="G322" s="31" t="str">
        <x:v>专项老师主讲，你负责课程衔接与验收</x:v>
      </x:c>
      <x:c r="H322" s="31" t="str">
        <x:v>需要较强的专项设计或产品化经验，建议由对应专家主讲，课程负责人负责与主线衔接。</x:v>
      </x:c>
      <x:c r="I322" s="31" t="str">
        <x:v>原理＋代码演示＋最小练习</x:v>
      </x:c>
      <x:c r="J322" s="31" t="str">
        <x:v>讲稿、可运行代码、配置说明、最小测试</x:v>
      </x:c>
      <x:c r="K322" s="31" t="str">
        <x:v>按需</x:v>
      </x:c>
      <x:c r="L322" s="31" t="str">
        <x:v>待确认</x:v>
      </x:c>
      <x:c r="M322" s="31" t="str">
        <x:v>参考所属系列前序模块</x:v>
      </x:c>
      <x:c r="N322" s="31" t="str"/>
    </x:row>
    <x:row r="323" ht="42" customHeight="1">
      <x:c r="A323" s="31" t="str">
        <x:v>M6.06</x:v>
      </x:c>
      <x:c r="B323" s="31" t="str">
        <x:v>M</x:v>
      </x:c>
      <x:c r="C323" s="31" t="str">
        <x:v>M6</x:v>
      </x:c>
      <x:c r="D323" s="31" t="str">
        <x:v>模型化开发、自动代码生成与虚实对比</x:v>
      </x:c>
      <x:c r="E323" s="31" t="str">
        <x:v>生成代码与现有控制工程集成</x:v>
      </x:c>
      <x:c r="F323" s="31" t="str">
        <x:v>C｜专项老师主讲，你负责衔接与验收</x:v>
      </x:c>
      <x:c r="G323" s="31" t="str">
        <x:v>专项老师主讲，你负责课程衔接与验收</x:v>
      </x:c>
      <x:c r="H323" s="31" t="str">
        <x:v>需要较强的专项设计或产品化经验，建议由对应专家主讲，课程负责人负责与主线衔接。</x:v>
      </x:c>
      <x:c r="I323" s="31" t="str">
        <x:v>原理＋代码演示＋最小练习</x:v>
      </x:c>
      <x:c r="J323" s="31" t="str">
        <x:v>讲稿、可运行代码、配置说明、最小测试</x:v>
      </x:c>
      <x:c r="K323" s="31" t="str">
        <x:v>按需</x:v>
      </x:c>
      <x:c r="L323" s="31" t="str">
        <x:v>待确认</x:v>
      </x:c>
      <x:c r="M323" s="31" t="str">
        <x:v>参考所属系列前序模块</x:v>
      </x:c>
      <x:c r="N323" s="31" t="str"/>
    </x:row>
    <x:row r="324" ht="42" customHeight="1">
      <x:c r="A324" s="31" t="str">
        <x:v>M6.07</x:v>
      </x:c>
      <x:c r="B324" s="31" t="str">
        <x:v>M</x:v>
      </x:c>
      <x:c r="C324" s="31" t="str">
        <x:v>M6</x:v>
      </x:c>
      <x:c r="D324" s="31" t="str">
        <x:v>模型化开发、自动代码生成与虚实对比</x:v>
      </x:c>
      <x:c r="E324" s="31" t="str">
        <x:v>C-SIL 闭环环境与生产 C 代码仿真</x:v>
      </x:c>
      <x:c r="F324" s="31" t="str">
        <x:v>C｜专项老师主讲，你负责衔接与验收</x:v>
      </x:c>
      <x:c r="G324" s="31" t="str">
        <x:v>专项老师主讲，你负责课程衔接与验收</x:v>
      </x:c>
      <x:c r="H324" s="31" t="str">
        <x:v>需要较强的专项设计或产品化经验，建议由对应专家主讲，课程负责人负责与主线衔接。</x:v>
      </x:c>
      <x:c r="I324" s="31" t="str">
        <x:v>原理＋代码演示＋最小练习</x:v>
      </x:c>
      <x:c r="J324" s="31" t="str">
        <x:v>讲稿、可运行代码、配置说明、最小测试</x:v>
      </x:c>
      <x:c r="K324" s="31" t="str">
        <x:v>按需</x:v>
      </x:c>
      <x:c r="L324" s="31" t="str">
        <x:v>待确认</x:v>
      </x:c>
      <x:c r="M324" s="31" t="str">
        <x:v>参考所属系列前序模块</x:v>
      </x:c>
      <x:c r="N324" s="31" t="str"/>
    </x:row>
    <x:row r="325" ht="42" customHeight="1">
      <x:c r="A325" s="31" t="str">
        <x:v>M6.08</x:v>
      </x:c>
      <x:c r="B325" s="31" t="str">
        <x:v>M</x:v>
      </x:c>
      <x:c r="C325" s="31" t="str">
        <x:v>M6</x:v>
      </x:c>
      <x:c r="D325" s="31" t="str">
        <x:v>模型化开发、自动代码生成与虚实对比</x:v>
      </x:c>
      <x:c r="E325" s="31" t="str">
        <x:v>MIL 与 C-SIL 逐拍结果比较</x:v>
      </x:c>
      <x:c r="F325" s="31" t="str">
        <x:v>C｜专项老师主讲，你负责衔接与验收</x:v>
      </x:c>
      <x:c r="G325" s="31" t="str">
        <x:v>专项老师主讲，你负责课程衔接与验收</x:v>
      </x:c>
      <x:c r="H325" s="31" t="str">
        <x:v>需要较强的专项设计或产品化经验，建议由对应专家主讲，课程负责人负责与主线衔接。</x:v>
      </x:c>
      <x:c r="I325" s="31" t="str">
        <x:v>原理＋模型＋对比验证</x:v>
      </x:c>
      <x:c r="J325" s="31" t="str">
        <x:v>讲稿、模型、参数说明、对比结果</x:v>
      </x:c>
      <x:c r="K325" s="31" t="str">
        <x:v>按需</x:v>
      </x:c>
      <x:c r="L325" s="31" t="str">
        <x:v>待确认</x:v>
      </x:c>
      <x:c r="M325" s="31" t="str">
        <x:v>参考所属系列前序模块</x:v>
      </x:c>
      <x:c r="N325" s="31" t="str"/>
    </x:row>
    <x:row r="326" ht="42" customHeight="1">
      <x:c r="A326" s="31" t="str">
        <x:v>M6.09</x:v>
      </x:c>
      <x:c r="B326" s="31" t="str">
        <x:v>M</x:v>
      </x:c>
      <x:c r="C326" s="31" t="str">
        <x:v>M6</x:v>
      </x:c>
      <x:c r="D326" s="31" t="str">
        <x:v>模型化开发、自动代码生成与虚实对比</x:v>
      </x:c>
      <x:c r="E326" s="31" t="str">
        <x:v>目标 MCU 数值、执行时间与资源占用测试</x:v>
      </x:c>
      <x:c r="F326" s="31" t="str">
        <x:v>C｜专项老师主讲，你负责衔接与验收</x:v>
      </x:c>
      <x:c r="G326" s="31" t="str">
        <x:v>专项老师主讲，你负责课程衔接与验收</x:v>
      </x:c>
      <x:c r="H326" s="31" t="str">
        <x:v>需要较强的专项设计或产品化经验，建议由对应专家主讲，课程负责人负责与主线衔接。</x:v>
      </x:c>
      <x:c r="I326" s="31" t="str">
        <x:v>方法讲解＋实测数据＋问题复盘</x:v>
      </x:c>
      <x:c r="J326" s="31" t="str">
        <x:v>讲稿、实验步骤、原始数据、处理脚本、结果说明</x:v>
      </x:c>
      <x:c r="K326" s="31" t="str">
        <x:v>按需</x:v>
      </x:c>
      <x:c r="L326" s="31" t="str">
        <x:v>待确认</x:v>
      </x:c>
      <x:c r="M326" s="31" t="str">
        <x:v>参考所属系列前序模块</x:v>
      </x:c>
      <x:c r="N326" s="31" t="str"/>
    </x:row>
    <x:row r="327" ht="42" customHeight="1">
      <x:c r="A327" s="31" t="str">
        <x:v>M6.10</x:v>
      </x:c>
      <x:c r="B327" s="31" t="str">
        <x:v>M</x:v>
      </x:c>
      <x:c r="C327" s="31" t="str">
        <x:v>M6</x:v>
      </x:c>
      <x:c r="D327" s="31" t="str">
        <x:v>模型化开发、自动代码生成与虚实对比</x:v>
      </x:c>
      <x:c r="E327" s="31" t="str">
        <x:v>同一 Test ID 下模型、C-SIL、PIL 与实物比较</x:v>
      </x:c>
      <x:c r="F327" s="31" t="str">
        <x:v>C｜专项老师主讲，你负责衔接与验收</x:v>
      </x:c>
      <x:c r="G327" s="31" t="str">
        <x:v>专项老师主讲，你负责课程衔接与验收</x:v>
      </x:c>
      <x:c r="H327" s="31" t="str">
        <x:v>需要较强的专项设计或产品化经验，建议由对应专家主讲，课程负责人负责与主线衔接。</x:v>
      </x:c>
      <x:c r="I327" s="31" t="str">
        <x:v>原理＋模型＋对比验证</x:v>
      </x:c>
      <x:c r="J327" s="31" t="str">
        <x:v>讲稿、模型、参数说明、对比结果</x:v>
      </x:c>
      <x:c r="K327" s="31" t="str">
        <x:v>按需</x:v>
      </x:c>
      <x:c r="L327" s="31" t="str">
        <x:v>待确认</x:v>
      </x:c>
      <x:c r="M327" s="31" t="str">
        <x:v>参考所属系列前序模块</x:v>
      </x:c>
      <x:c r="N327" s="31" t="str"/>
    </x:row>
    <x:row r="328" ht="42" customHeight="1">
      <x:c r="A328" s="31" t="str">
        <x:v>M6.11</x:v>
      </x:c>
      <x:c r="B328" s="31" t="str">
        <x:v>M</x:v>
      </x:c>
      <x:c r="C328" s="31" t="str">
        <x:v>M6</x:v>
      </x:c>
      <x:c r="D328" s="31" t="str">
        <x:v>模型化开发、自动代码生成与虚实对比</x:v>
      </x:c>
      <x:c r="E328" s="31" t="str">
        <x:v>参数、采样、延迟、硬件误差与模型差异定位</x:v>
      </x:c>
      <x:c r="F328" s="31" t="str">
        <x:v>C｜专项老师主讲，你负责衔接与验收</x:v>
      </x:c>
      <x:c r="G328" s="31" t="str">
        <x:v>专项老师主讲，你负责课程衔接与验收</x:v>
      </x:c>
      <x:c r="H328" s="31" t="str">
        <x:v>需要较强的专项设计或产品化经验，建议由对应专家主讲，课程负责人负责与主线衔接。</x:v>
      </x:c>
      <x:c r="I328" s="31" t="str">
        <x:v>原理图/计算＋板级测试</x:v>
      </x:c>
      <x:c r="J328" s="31" t="str">
        <x:v>讲稿、原理图/计算、板级测试记录、检查清单</x:v>
      </x:c>
      <x:c r="K328" s="31" t="str">
        <x:v>按需</x:v>
      </x:c>
      <x:c r="L328" s="31" t="str">
        <x:v>待确认</x:v>
      </x:c>
      <x:c r="M328" s="31" t="str">
        <x:v>参考所属系列前序模块</x:v>
      </x:c>
      <x:c r="N328" s="31" t="str"/>
    </x:row>
    <x:row r="329" ht="42" customHeight="1">
      <x:c r="A329" s="31" t="str">
        <x:v>M6.12</x:v>
      </x:c>
      <x:c r="B329" s="31" t="str">
        <x:v>M</x:v>
      </x:c>
      <x:c r="C329" s="31" t="str">
        <x:v>M6</x:v>
      </x:c>
      <x:c r="D329" s="31" t="str">
        <x:v>模型化开发、自动代码生成与虚实对比</x:v>
      </x:c>
      <x:c r="E329" s="31" t="str">
        <x:v>HIL、自动回归与模型/代码修改检查</x:v>
      </x:c>
      <x:c r="F329" s="31" t="str">
        <x:v>C｜专项老师主讲，你负责衔接与验收</x:v>
      </x:c>
      <x:c r="G329" s="31" t="str">
        <x:v>专项老师主讲，你负责课程衔接与验收</x:v>
      </x:c>
      <x:c r="H329" s="31" t="str">
        <x:v>需要较强的专项设计或产品化经验，建议由对应专家主讲，课程负责人负责与主线衔接。</x:v>
      </x:c>
      <x:c r="I329" s="31" t="str">
        <x:v>原理＋代码演示＋最小练习</x:v>
      </x:c>
      <x:c r="J329" s="31" t="str">
        <x:v>讲稿、可运行代码、配置说明、最小测试</x:v>
      </x:c>
      <x:c r="K329" s="31" t="str">
        <x:v>按需</x:v>
      </x:c>
      <x:c r="L329" s="31" t="str">
        <x:v>待确认</x:v>
      </x:c>
      <x:c r="M329" s="31" t="str">
        <x:v>参考所属系列前序模块</x:v>
      </x:c>
      <x:c r="N329" s="31" t="str"/>
    </x:row>
    <x:row r="330" ht="42" customHeight="1">
      <x:c r="A330" s="31" t="str">
        <x:v>M6.13</x:v>
      </x:c>
      <x:c r="B330" s="31" t="str">
        <x:v>M</x:v>
      </x:c>
      <x:c r="C330" s="31" t="str">
        <x:v>M6</x:v>
      </x:c>
      <x:c r="D330" s="31" t="str">
        <x:v>模型化开发、自动代码生成与虚实对比</x:v>
      </x:c>
      <x:c r="E330" s="31" t="str">
        <x:v>模型到产品的分阶段迁移、验收与回退</x:v>
      </x:c>
      <x:c r="F330" s="31" t="str">
        <x:v>C｜专项老师主讲，你负责衔接与验收</x:v>
      </x:c>
      <x:c r="G330" s="31" t="str">
        <x:v>专项老师主讲，你负责课程衔接与验收</x:v>
      </x:c>
      <x:c r="H330" s="31" t="str">
        <x:v>需要较强的专项设计或产品化经验，建议由对应专家主讲，课程负责人负责与主线衔接。</x:v>
      </x:c>
      <x:c r="I330" s="31" t="str">
        <x:v>原理＋模型＋对比验证</x:v>
      </x:c>
      <x:c r="J330" s="31" t="str">
        <x:v>讲稿、模型、参数说明、对比结果</x:v>
      </x:c>
      <x:c r="K330" s="31" t="str">
        <x:v>按需</x:v>
      </x:c>
      <x:c r="L330" s="31" t="str">
        <x:v>待确认</x:v>
      </x:c>
      <x:c r="M330" s="31" t="str">
        <x:v>参考所属系列前序模块</x:v>
      </x:c>
      <x:c r="N330" s="31" t="str"/>
    </x:row>
    <x:row r="331" ht="42" customHeight="1">
      <x:c r="A331" s="31" t="str">
        <x:v>M7.01</x:v>
      </x:c>
      <x:c r="B331" s="31" t="str">
        <x:v>M</x:v>
      </x:c>
      <x:c r="C331" s="31" t="str">
        <x:v>M7</x:v>
      </x:c>
      <x:c r="D331" s="31" t="str">
        <x:v>电机控制科研方法、算法复现与成果产出</x:v>
      </x:c>
      <x:c r="E331" s="31" t="str">
        <x:v>工程现象到研究问题、假设和评价指标定义</x:v>
      </x:c>
      <x:c r="F331" s="31" t="str">
        <x:v>B｜你主讲，专项老师补充</x:v>
      </x:c>
      <x:c r="G331" s="31" t="str">
        <x:v>你主讲，专项老师补充</x:v>
      </x:c>
      <x:c r="H331" s="31" t="str">
        <x:v>属于核心专项，课程负责人控制主线，再由有实机经验的老师补充算法细节和适用边界。</x:v>
      </x:c>
      <x:c r="I331" s="31" t="str">
        <x:v>方法讲解＋实测数据＋问题复盘</x:v>
      </x:c>
      <x:c r="J331" s="31" t="str">
        <x:v>讲稿、实验步骤、原始数据、处理脚本、结果说明</x:v>
      </x:c>
      <x:c r="K331" s="31" t="str">
        <x:v>重要</x:v>
      </x:c>
      <x:c r="L331" s="31" t="str">
        <x:v>待确认</x:v>
      </x:c>
      <x:c r="M331" s="31" t="str">
        <x:v>参考所属系列前序模块</x:v>
      </x:c>
      <x:c r="N331" s="31" t="str"/>
    </x:row>
    <x:row r="332" ht="42" customHeight="1">
      <x:c r="A332" s="31" t="str">
        <x:v>M7.02</x:v>
      </x:c>
      <x:c r="B332" s="31" t="str">
        <x:v>M</x:v>
      </x:c>
      <x:c r="C332" s="31" t="str">
        <x:v>M7</x:v>
      </x:c>
      <x:c r="D332" s="31" t="str">
        <x:v>电机控制科研方法、算法复现与成果产出</x:v>
      </x:c>
      <x:c r="E332" s="31" t="str">
        <x:v>前沿方向地图、关键词与检索式构建</x:v>
      </x:c>
      <x:c r="F332" s="31" t="str">
        <x:v>B｜你主讲，专项老师补充</x:v>
      </x:c>
      <x:c r="G332" s="31" t="str">
        <x:v>你主讲，专项老师补充</x:v>
      </x:c>
      <x:c r="H332" s="31" t="str">
        <x:v>属于核心专项，课程负责人控制主线，再由有实机经验的老师补充算法细节和适用边界。</x:v>
      </x:c>
      <x:c r="I332" s="31" t="str">
        <x:v>原理讲解＋工程案例＋检查题</x:v>
      </x:c>
      <x:c r="J332" s="31" t="str">
        <x:v>讲稿、课件、示例、作业与答案</x:v>
      </x:c>
      <x:c r="K332" s="31" t="str">
        <x:v>重要</x:v>
      </x:c>
      <x:c r="L332" s="31" t="str">
        <x:v>待确认</x:v>
      </x:c>
      <x:c r="M332" s="31" t="str">
        <x:v>参考所属系列前序模块</x:v>
      </x:c>
      <x:c r="N332" s="31" t="str"/>
    </x:row>
    <x:row r="333" ht="42" customHeight="1">
      <x:c r="A333" s="31" t="str">
        <x:v>M7.03</x:v>
      </x:c>
      <x:c r="B333" s="31" t="str">
        <x:v>M</x:v>
      </x:c>
      <x:c r="C333" s="31" t="str">
        <x:v>M7</x:v>
      </x:c>
      <x:c r="D333" s="31" t="str">
        <x:v>电机控制科研方法、算法复现与成果产出</x:v>
      </x:c>
      <x:c r="E333" s="31" t="str">
        <x:v>文献收集、去重、筛选与分类整理</x:v>
      </x:c>
      <x:c r="F333" s="31" t="str">
        <x:v>B｜你主讲，专项老师补充</x:v>
      </x:c>
      <x:c r="G333" s="31" t="str">
        <x:v>你主讲，专项老师补充</x:v>
      </x:c>
      <x:c r="H333" s="31" t="str">
        <x:v>属于核心专项，课程负责人控制主线，再由有实机经验的老师补充算法细节和适用边界。</x:v>
      </x:c>
      <x:c r="I333" s="31" t="str">
        <x:v>原理讲解＋工程案例＋检查题</x:v>
      </x:c>
      <x:c r="J333" s="31" t="str">
        <x:v>讲稿、课件、示例、作业与答案</x:v>
      </x:c>
      <x:c r="K333" s="31" t="str">
        <x:v>重要</x:v>
      </x:c>
      <x:c r="L333" s="31" t="str">
        <x:v>待确认</x:v>
      </x:c>
      <x:c r="M333" s="31" t="str">
        <x:v>参考所属系列前序模块</x:v>
      </x:c>
      <x:c r="N333" s="31" t="str"/>
    </x:row>
    <x:row r="334" ht="42" customHeight="1">
      <x:c r="A334" s="31" t="str">
        <x:v>M7.04</x:v>
      </x:c>
      <x:c r="B334" s="31" t="str">
        <x:v>M</x:v>
      </x:c>
      <x:c r="C334" s="31" t="str">
        <x:v>M7</x:v>
      </x:c>
      <x:c r="D334" s="31" t="str">
        <x:v>电机控制科研方法、算法复现与成果产出</x:v>
      </x:c>
      <x:c r="E334" s="31" t="str">
        <x:v>论文公式、模型、参数、流程与代码逐项还原</x:v>
      </x:c>
      <x:c r="F334" s="31" t="str">
        <x:v>B｜你主讲，专项老师补充</x:v>
      </x:c>
      <x:c r="G334" s="31" t="str">
        <x:v>你主讲，专项老师补充</x:v>
      </x:c>
      <x:c r="H334" s="31" t="str">
        <x:v>属于核心专项，课程负责人控制主线，再由有实机经验的老师补充算法细节和适用边界。</x:v>
      </x:c>
      <x:c r="I334" s="31" t="str">
        <x:v>原理＋代码演示＋最小练习</x:v>
      </x:c>
      <x:c r="J334" s="31" t="str">
        <x:v>讲稿、可运行代码、配置说明、最小测试</x:v>
      </x:c>
      <x:c r="K334" s="31" t="str">
        <x:v>重要</x:v>
      </x:c>
      <x:c r="L334" s="31" t="str">
        <x:v>待确认</x:v>
      </x:c>
      <x:c r="M334" s="31" t="str">
        <x:v>参考所属系列前序模块</x:v>
      </x:c>
      <x:c r="N334" s="31" t="str"/>
    </x:row>
    <x:row r="335" ht="42" customHeight="1">
      <x:c r="A335" s="31" t="str">
        <x:v>M7.05</x:v>
      </x:c>
      <x:c r="B335" s="31" t="str">
        <x:v>M</x:v>
      </x:c>
      <x:c r="C335" s="31" t="str">
        <x:v>M7</x:v>
      </x:c>
      <x:c r="D335" s="31" t="str">
        <x:v>电机控制科研方法、算法复现与成果产出</x:v>
      </x:c>
      <x:c r="E335" s="31" t="str">
        <x:v>Baseline 选择、测试条件固定与公平对比</x:v>
      </x:c>
      <x:c r="F335" s="31" t="str">
        <x:v>B｜你主讲，专项老师补充</x:v>
      </x:c>
      <x:c r="G335" s="31" t="str">
        <x:v>你主讲，专项老师补充</x:v>
      </x:c>
      <x:c r="H335" s="31" t="str">
        <x:v>属于核心专项，课程负责人控制主线，再由有实机经验的老师补充算法细节和适用边界。</x:v>
      </x:c>
      <x:c r="I335" s="31" t="str">
        <x:v>方法讲解＋实测数据＋问题复盘</x:v>
      </x:c>
      <x:c r="J335" s="31" t="str">
        <x:v>讲稿、实验步骤、原始数据、处理脚本、结果说明</x:v>
      </x:c>
      <x:c r="K335" s="31" t="str">
        <x:v>重要</x:v>
      </x:c>
      <x:c r="L335" s="31" t="str">
        <x:v>待确认</x:v>
      </x:c>
      <x:c r="M335" s="31" t="str">
        <x:v>参考所属系列前序模块</x:v>
      </x:c>
      <x:c r="N335" s="31" t="str"/>
    </x:row>
    <x:row r="336" ht="42" customHeight="1">
      <x:c r="A336" s="31" t="str">
        <x:v>M7.06</x:v>
      </x:c>
      <x:c r="B336" s="31" t="str">
        <x:v>M</x:v>
      </x:c>
      <x:c r="C336" s="31" t="str">
        <x:v>M7</x:v>
      </x:c>
      <x:c r="D336" s="31" t="str">
        <x:v>电机控制科研方法、算法复现与成果产出</x:v>
      </x:c>
      <x:c r="E336" s="31" t="str">
        <x:v>最小复现、论文工况复现与完整复现</x:v>
      </x:c>
      <x:c r="F336" s="31" t="str">
        <x:v>B｜你主讲，专项老师补充</x:v>
      </x:c>
      <x:c r="G336" s="31" t="str">
        <x:v>你主讲，专项老师补充</x:v>
      </x:c>
      <x:c r="H336" s="31" t="str">
        <x:v>属于核心专项，课程负责人控制主线，再由有实机经验的老师补充算法细节和适用边界。</x:v>
      </x:c>
      <x:c r="I336" s="31" t="str">
        <x:v>原理讲解＋工程案例＋检查题</x:v>
      </x:c>
      <x:c r="J336" s="31" t="str">
        <x:v>讲稿、课件、示例、作业与答案</x:v>
      </x:c>
      <x:c r="K336" s="31" t="str">
        <x:v>重要</x:v>
      </x:c>
      <x:c r="L336" s="31" t="str">
        <x:v>待确认</x:v>
      </x:c>
      <x:c r="M336" s="31" t="str">
        <x:v>参考所属系列前序模块</x:v>
      </x:c>
      <x:c r="N336" s="31" t="str"/>
    </x:row>
    <x:row r="337" ht="42" customHeight="1">
      <x:c r="A337" s="31" t="str">
        <x:v>M7.07</x:v>
      </x:c>
      <x:c r="B337" s="31" t="str">
        <x:v>M</x:v>
      </x:c>
      <x:c r="C337" s="31" t="str">
        <x:v>M7</x:v>
      </x:c>
      <x:c r="D337" s="31" t="str">
        <x:v>电机控制科研方法、算法复现与成果产出</x:v>
      </x:c>
      <x:c r="E337" s="31" t="str">
        <x:v>统一算法接口与可替换 Baseline 代码库</x:v>
      </x:c>
      <x:c r="F337" s="31" t="str">
        <x:v>B｜你主讲，专项老师补充</x:v>
      </x:c>
      <x:c r="G337" s="31" t="str">
        <x:v>你主讲，专项老师补充</x:v>
      </x:c>
      <x:c r="H337" s="31" t="str">
        <x:v>属于核心专项，课程负责人控制主线，再由有实机经验的老师补充算法细节和适用边界。</x:v>
      </x:c>
      <x:c r="I337" s="31" t="str">
        <x:v>原理＋代码演示＋最小练习</x:v>
      </x:c>
      <x:c r="J337" s="31" t="str">
        <x:v>讲稿、可运行代码、配置说明、最小测试</x:v>
      </x:c>
      <x:c r="K337" s="31" t="str">
        <x:v>重要</x:v>
      </x:c>
      <x:c r="L337" s="31" t="str">
        <x:v>待确认</x:v>
      </x:c>
      <x:c r="M337" s="31" t="str">
        <x:v>参考所属系列前序模块</x:v>
      </x:c>
      <x:c r="N337" s="31" t="str"/>
    </x:row>
    <x:row r="338" ht="42" customHeight="1">
      <x:c r="A338" s="31" t="str">
        <x:v>M7.08</x:v>
      </x:c>
      <x:c r="B338" s="31" t="str">
        <x:v>M</x:v>
      </x:c>
      <x:c r="C338" s="31" t="str">
        <x:v>M7</x:v>
      </x:c>
      <x:c r="D338" s="31" t="str">
        <x:v>电机控制科研方法、算法复现与成果产出</x:v>
      </x:c>
      <x:c r="E338" s="31" t="str">
        <x:v>现有方法缺陷、创新候选与已有工作检查</x:v>
      </x:c>
      <x:c r="F338" s="31" t="str">
        <x:v>B｜你主讲，专项老师补充</x:v>
      </x:c>
      <x:c r="G338" s="31" t="str">
        <x:v>你主讲，专项老师补充</x:v>
      </x:c>
      <x:c r="H338" s="31" t="str">
        <x:v>属于核心专项，课程负责人控制主线，再由有实机经验的老师补充算法细节和适用边界。</x:v>
      </x:c>
      <x:c r="I338" s="31" t="str">
        <x:v>原理讲解＋工程案例＋检查题</x:v>
      </x:c>
      <x:c r="J338" s="31" t="str">
        <x:v>讲稿、课件、示例、作业与答案</x:v>
      </x:c>
      <x:c r="K338" s="31" t="str">
        <x:v>重要</x:v>
      </x:c>
      <x:c r="L338" s="31" t="str">
        <x:v>待确认</x:v>
      </x:c>
      <x:c r="M338" s="31" t="str">
        <x:v>参考所属系列前序模块</x:v>
      </x:c>
      <x:c r="N338" s="31" t="str"/>
    </x:row>
    <x:row r="339" ht="42" customHeight="1">
      <x:c r="A339" s="31" t="str">
        <x:v>M7.09</x:v>
      </x:c>
      <x:c r="B339" s="31" t="str">
        <x:v>M</x:v>
      </x:c>
      <x:c r="C339" s="31" t="str">
        <x:v>M7</x:v>
      </x:c>
      <x:c r="D339" s="31" t="str">
        <x:v>电机控制科研方法、算法复现与成果产出</x:v>
      </x:c>
      <x:c r="E339" s="31" t="str">
        <x:v>数学模型、假设、误差方程、稳定性与参数条件</x:v>
      </x:c>
      <x:c r="F339" s="31" t="str">
        <x:v>B｜你主讲，专项老师补充</x:v>
      </x:c>
      <x:c r="G339" s="31" t="str">
        <x:v>你主讲，专项老师补充</x:v>
      </x:c>
      <x:c r="H339" s="31" t="str">
        <x:v>属于核心专项，课程负责人控制主线，再由有实机经验的老师补充算法细节和适用边界。</x:v>
      </x:c>
      <x:c r="I339" s="31" t="str">
        <x:v>原理＋模型＋对比验证</x:v>
      </x:c>
      <x:c r="J339" s="31" t="str">
        <x:v>讲稿、模型、参数说明、对比结果</x:v>
      </x:c>
      <x:c r="K339" s="31" t="str">
        <x:v>重要</x:v>
      </x:c>
      <x:c r="L339" s="31" t="str">
        <x:v>待确认</x:v>
      </x:c>
      <x:c r="M339" s="31" t="str">
        <x:v>参考所属系列前序模块</x:v>
      </x:c>
      <x:c r="N339" s="31" t="str"/>
    </x:row>
    <x:row r="340" ht="42" customHeight="1">
      <x:c r="A340" s="31" t="str">
        <x:v>M7.10</x:v>
      </x:c>
      <x:c r="B340" s="31" t="str">
        <x:v>M</x:v>
      </x:c>
      <x:c r="C340" s="31" t="str">
        <x:v>M7</x:v>
      </x:c>
      <x:c r="D340" s="31" t="str">
        <x:v>电机控制科研方法、算法复现与成果产出</x:v>
      </x:c>
      <x:c r="E340" s="31" t="str">
        <x:v>参数失配、噪声、延迟、饱和与极限工况仿真</x:v>
      </x:c>
      <x:c r="F340" s="31" t="str">
        <x:v>B｜你主讲，专项老师补充</x:v>
      </x:c>
      <x:c r="G340" s="31" t="str">
        <x:v>你主讲，专项老师补充</x:v>
      </x:c>
      <x:c r="H340" s="31" t="str">
        <x:v>属于核心专项，课程负责人控制主线，再由有实机经验的老师补充算法细节和适用边界。</x:v>
      </x:c>
      <x:c r="I340" s="31" t="str">
        <x:v>原理＋模型＋对比验证</x:v>
      </x:c>
      <x:c r="J340" s="31" t="str">
        <x:v>讲稿、模型、参数说明、对比结果</x:v>
      </x:c>
      <x:c r="K340" s="31" t="str">
        <x:v>重要</x:v>
      </x:c>
      <x:c r="L340" s="31" t="str">
        <x:v>待确认</x:v>
      </x:c>
      <x:c r="M340" s="31" t="str">
        <x:v>参考所属系列前序模块</x:v>
      </x:c>
      <x:c r="N340" s="31" t="str"/>
    </x:row>
    <x:row r="341" ht="42" customHeight="1">
      <x:c r="A341" s="31" t="str">
        <x:v>M7.11</x:v>
      </x:c>
      <x:c r="B341" s="31" t="str">
        <x:v>M</x:v>
      </x:c>
      <x:c r="C341" s="31" t="str">
        <x:v>M7</x:v>
      </x:c>
      <x:c r="D341" s="31" t="str">
        <x:v>电机控制科研方法、算法复现与成果产出</x:v>
      </x:c>
      <x:c r="E341" s="31" t="str">
        <x:v>由论文结论反向设计实物实验和公平测试</x:v>
      </x:c>
      <x:c r="F341" s="31" t="str">
        <x:v>B｜你主讲，专项老师补充</x:v>
      </x:c>
      <x:c r="G341" s="31" t="str">
        <x:v>你主讲，专项老师补充</x:v>
      </x:c>
      <x:c r="H341" s="31" t="str">
        <x:v>属于核心专项，课程负责人控制主线，再由有实机经验的老师补充算法细节和适用边界。</x:v>
      </x:c>
      <x:c r="I341" s="31" t="str">
        <x:v>方法讲解＋实测数据＋问题复盘</x:v>
      </x:c>
      <x:c r="J341" s="31" t="str">
        <x:v>讲稿、实验步骤、原始数据、处理脚本、结果说明</x:v>
      </x:c>
      <x:c r="K341" s="31" t="str">
        <x:v>重要</x:v>
      </x:c>
      <x:c r="L341" s="31" t="str">
        <x:v>待确认</x:v>
      </x:c>
      <x:c r="M341" s="31" t="str">
        <x:v>参考所属系列前序模块</x:v>
      </x:c>
      <x:c r="N341" s="31" t="str"/>
    </x:row>
    <x:row r="342" ht="42" customHeight="1">
      <x:c r="A342" s="31" t="str">
        <x:v>M7.12</x:v>
      </x:c>
      <x:c r="B342" s="31" t="str">
        <x:v>M</x:v>
      </x:c>
      <x:c r="C342" s="31" t="str">
        <x:v>M7</x:v>
      </x:c>
      <x:c r="D342" s="31" t="str">
        <x:v>电机控制科研方法、算法复现与成果产出</x:v>
      </x:c>
      <x:c r="E342" s="31" t="str">
        <x:v>原始数据、自动指标、统计分析与论文图表</x:v>
      </x:c>
      <x:c r="F342" s="31" t="str">
        <x:v>B｜你主讲，专项老师补充</x:v>
      </x:c>
      <x:c r="G342" s="31" t="str">
        <x:v>你主讲，专项老师补充</x:v>
      </x:c>
      <x:c r="H342" s="31" t="str">
        <x:v>属于核心专项，课程负责人控制主线，再由有实机经验的老师补充算法细节和适用边界。</x:v>
      </x:c>
      <x:c r="I342" s="31" t="str">
        <x:v>原理讲解＋工程案例＋检查题</x:v>
      </x:c>
      <x:c r="J342" s="31" t="str">
        <x:v>讲稿、课件、示例、作业与答案</x:v>
      </x:c>
      <x:c r="K342" s="31" t="str">
        <x:v>重要</x:v>
      </x:c>
      <x:c r="L342" s="31" t="str">
        <x:v>待确认</x:v>
      </x:c>
      <x:c r="M342" s="31" t="str">
        <x:v>参考所属系列前序模块</x:v>
      </x:c>
      <x:c r="N342" s="31" t="str"/>
    </x:row>
    <x:row r="343" ht="42" customHeight="1">
      <x:c r="A343" s="31" t="str">
        <x:v>M7.13</x:v>
      </x:c>
      <x:c r="B343" s="31" t="str">
        <x:v>M</x:v>
      </x:c>
      <x:c r="C343" s="31" t="str">
        <x:v>M7</x:v>
      </x:c>
      <x:c r="D343" s="31" t="str">
        <x:v>电机控制科研方法、算法复现与成果产出</x:v>
      </x:c>
      <x:c r="E343" s="31" t="str">
        <x:v>消融、敏感性实验与创新机制验证</x:v>
      </x:c>
      <x:c r="F343" s="31" t="str">
        <x:v>B｜你主讲，专项老师补充</x:v>
      </x:c>
      <x:c r="G343" s="31" t="str">
        <x:v>你主讲，专项老师补充</x:v>
      </x:c>
      <x:c r="H343" s="31" t="str">
        <x:v>属于核心专项，课程负责人控制主线，再由有实机经验的老师补充算法细节和适用边界。</x:v>
      </x:c>
      <x:c r="I343" s="31" t="str">
        <x:v>方法讲解＋实测数据＋问题复盘</x:v>
      </x:c>
      <x:c r="J343" s="31" t="str">
        <x:v>讲稿、实验步骤、原始数据、处理脚本、结果说明</x:v>
      </x:c>
      <x:c r="K343" s="31" t="str">
        <x:v>重要</x:v>
      </x:c>
      <x:c r="L343" s="31" t="str">
        <x:v>待确认</x:v>
      </x:c>
      <x:c r="M343" s="31" t="str">
        <x:v>参考所属系列前序模块</x:v>
      </x:c>
      <x:c r="N343" s="31" t="str"/>
    </x:row>
    <x:row r="344" ht="42" customHeight="1">
      <x:c r="A344" s="31" t="str">
        <x:v>M7.14</x:v>
      </x:c>
      <x:c r="B344" s="31" t="str">
        <x:v>M</x:v>
      </x:c>
      <x:c r="C344" s="31" t="str">
        <x:v>M7</x:v>
      </x:c>
      <x:c r="D344" s="31" t="str">
        <x:v>电机控制科研方法、算法复现与成果产出</x:v>
      </x:c>
      <x:c r="E344" s="31" t="str">
        <x:v>论文结构、技术表达、引用与图表规范</x:v>
      </x:c>
      <x:c r="F344" s="31" t="str">
        <x:v>B｜你主讲，专项老师补充</x:v>
      </x:c>
      <x:c r="G344" s="31" t="str">
        <x:v>你主讲，专项老师补充</x:v>
      </x:c>
      <x:c r="H344" s="31" t="str">
        <x:v>属于核心专项，课程负责人控制主线，再由有实机经验的老师补充算法细节和适用边界。</x:v>
      </x:c>
      <x:c r="I344" s="31" t="str">
        <x:v>原理讲解＋工程案例＋检查题</x:v>
      </x:c>
      <x:c r="J344" s="31" t="str">
        <x:v>讲稿、课件、示例、作业与答案</x:v>
      </x:c>
      <x:c r="K344" s="31" t="str">
        <x:v>重要</x:v>
      </x:c>
      <x:c r="L344" s="31" t="str">
        <x:v>待确认</x:v>
      </x:c>
      <x:c r="M344" s="31" t="str">
        <x:v>参考所属系列前序模块</x:v>
      </x:c>
      <x:c r="N344" s="31" t="str"/>
    </x:row>
    <x:row r="345" ht="42" customHeight="1">
      <x:c r="A345" s="31" t="str">
        <x:v>M7.15</x:v>
      </x:c>
      <x:c r="B345" s="31" t="str">
        <x:v>M</x:v>
      </x:c>
      <x:c r="C345" s="31" t="str">
        <x:v>M7</x:v>
      </x:c>
      <x:c r="D345" s="31" t="str">
        <x:v>电机控制科研方法、算法复现与成果产出</x:v>
      </x:c>
      <x:c r="E345" s="31" t="str">
        <x:v>目标期刊选择、投稿材料与投稿策略</x:v>
      </x:c>
      <x:c r="F345" s="31" t="str">
        <x:v>B｜你主讲，专项老师补充</x:v>
      </x:c>
      <x:c r="G345" s="31" t="str">
        <x:v>你主讲，专项老师补充</x:v>
      </x:c>
      <x:c r="H345" s="31" t="str">
        <x:v>属于核心专项，课程负责人控制主线，再由有实机经验的老师补充算法细节和适用边界。</x:v>
      </x:c>
      <x:c r="I345" s="31" t="str">
        <x:v>原理讲解＋工程案例＋检查题</x:v>
      </x:c>
      <x:c r="J345" s="31" t="str">
        <x:v>讲稿、课件、示例、作业与答案</x:v>
      </x:c>
      <x:c r="K345" s="31" t="str">
        <x:v>重要</x:v>
      </x:c>
      <x:c r="L345" s="31" t="str">
        <x:v>待确认</x:v>
      </x:c>
      <x:c r="M345" s="31" t="str">
        <x:v>参考所属系列前序模块</x:v>
      </x:c>
      <x:c r="N345" s="31" t="str"/>
    </x:row>
    <x:row r="346" ht="42" customHeight="1">
      <x:c r="A346" s="31" t="str">
        <x:v>M7.16</x:v>
      </x:c>
      <x:c r="B346" s="31" t="str">
        <x:v>M</x:v>
      </x:c>
      <x:c r="C346" s="31" t="str">
        <x:v>M7</x:v>
      </x:c>
      <x:c r="D346" s="31" t="str">
        <x:v>电机控制科研方法、算法复现与成果产出</x:v>
      </x:c>
      <x:c r="E346" s="31" t="str">
        <x:v>审稿意见拆解、补理论、补实验与返修回复</x:v>
      </x:c>
      <x:c r="F346" s="31" t="str">
        <x:v>B｜你主讲，专项老师补充</x:v>
      </x:c>
      <x:c r="G346" s="31" t="str">
        <x:v>你主讲，专项老师补充</x:v>
      </x:c>
      <x:c r="H346" s="31" t="str">
        <x:v>属于核心专项，课程负责人控制主线，再由有实机经验的老师补充算法细节和适用边界。</x:v>
      </x:c>
      <x:c r="I346" s="31" t="str">
        <x:v>方法讲解＋实测数据＋问题复盘</x:v>
      </x:c>
      <x:c r="J346" s="31" t="str">
        <x:v>讲稿、实验步骤、原始数据、处理脚本、结果说明</x:v>
      </x:c>
      <x:c r="K346" s="31" t="str">
        <x:v>重要</x:v>
      </x:c>
      <x:c r="L346" s="31" t="str">
        <x:v>待确认</x:v>
      </x:c>
      <x:c r="M346" s="31" t="str">
        <x:v>参考所属系列前序模块</x:v>
      </x:c>
      <x:c r="N346" s="31" t="str"/>
    </x:row>
    <x:row r="347" ht="42" customHeight="1">
      <x:c r="A347" s="31" t="str">
        <x:v>M7.17</x:v>
      </x:c>
      <x:c r="B347" s="31" t="str">
        <x:v>M</x:v>
      </x:c>
      <x:c r="C347" s="31" t="str">
        <x:v>M7</x:v>
      </x:c>
      <x:c r="D347" s="31" t="str">
        <x:v>电机控制科研方法、算法复现与成果产出</x:v>
      </x:c>
      <x:c r="E347" s="31" t="str">
        <x:v>AI辅助检索、整理、代码检查与人工确认边界</x:v>
      </x:c>
      <x:c r="F347" s="31" t="str">
        <x:v>B｜你主讲，专项老师补充</x:v>
      </x:c>
      <x:c r="G347" s="31" t="str">
        <x:v>你主讲，专项老师补充</x:v>
      </x:c>
      <x:c r="H347" s="31" t="str">
        <x:v>属于核心专项，课程负责人控制主线，再由有实机经验的老师补充算法细节和适用边界。</x:v>
      </x:c>
      <x:c r="I347" s="31" t="str">
        <x:v>原理＋代码演示＋最小练习</x:v>
      </x:c>
      <x:c r="J347" s="31" t="str">
        <x:v>讲稿、可运行代码、配置说明、最小测试</x:v>
      </x:c>
      <x:c r="K347" s="31" t="str">
        <x:v>重要</x:v>
      </x:c>
      <x:c r="L347" s="31" t="str">
        <x:v>待确认</x:v>
      </x:c>
      <x:c r="M347" s="31" t="str">
        <x:v>参考所属系列前序模块</x:v>
      </x:c>
      <x:c r="N347" s="31" t="str"/>
    </x:row>
    <x:row r="348" ht="42" customHeight="1">
      <x:c r="A348" s="31" t="str">
        <x:v>M7.18</x:v>
      </x:c>
      <x:c r="B348" s="31" t="str">
        <x:v>M</x:v>
      </x:c>
      <x:c r="C348" s="31" t="str">
        <x:v>M7</x:v>
      </x:c>
      <x:c r="D348" s="31" t="str">
        <x:v>电机控制科研方法、算法复现与成果产出</x:v>
      </x:c>
      <x:c r="E348" s="31" t="str">
        <x:v>代码、数据、模型、实验和论文的可复现研究包</x:v>
      </x:c>
      <x:c r="F348" s="31" t="str">
        <x:v>B｜你主讲，专项老师补充</x:v>
      </x:c>
      <x:c r="G348" s="31" t="str">
        <x:v>你主讲，专项老师补充</x:v>
      </x:c>
      <x:c r="H348" s="31" t="str">
        <x:v>属于核心专项，课程负责人控制主线，再由有实机经验的老师补充算法细节和适用边界。</x:v>
      </x:c>
      <x:c r="I348" s="31" t="str">
        <x:v>方法讲解＋实测数据＋问题复盘</x:v>
      </x:c>
      <x:c r="J348" s="31" t="str">
        <x:v>讲稿、实验步骤、原始数据、处理脚本、结果说明</x:v>
      </x:c>
      <x:c r="K348" s="31" t="str">
        <x:v>重要</x:v>
      </x:c>
      <x:c r="L348" s="31" t="str">
        <x:v>待确认</x:v>
      </x:c>
      <x:c r="M348" s="31" t="str">
        <x:v>参考所属系列前序模块</x:v>
      </x:c>
      <x:c r="N348" s="31" t="str"/>
    </x:row>
    <x:row r="349" ht="42" customHeight="1">
      <x:c r="A349" s="31" t="str">
        <x:v>M8.01</x:v>
      </x:c>
      <x:c r="B349" s="31" t="str">
        <x:v>M</x:v>
      </x:c>
      <x:c r="C349" s="31" t="str">
        <x:v>M8</x:v>
      </x:c>
      <x:c r="D349" s="31" t="str">
        <x:v>电机控制器硬件、功率级与产品化设计</x:v>
      </x:c>
      <x:c r="E349" s="31" t="str">
        <x:v>母线、电流、功率、温度、尺寸与接口需求确定</x:v>
      </x:c>
      <x:c r="F349" s="31" t="str">
        <x:v>C｜专项老师主讲，你负责衔接与验收</x:v>
      </x:c>
      <x:c r="G349" s="31" t="str">
        <x:v>专项老师主讲，你负责课程衔接与验收</x:v>
      </x:c>
      <x:c r="H349" s="31" t="str">
        <x:v>需要较强的专项设计或产品化经验，建议由对应专家主讲，课程负责人负责与主线衔接。</x:v>
      </x:c>
      <x:c r="I349" s="31" t="str">
        <x:v>原理＋代码演示＋最小练习</x:v>
      </x:c>
      <x:c r="J349" s="31" t="str">
        <x:v>讲稿、课件、示例、作业与答案</x:v>
      </x:c>
      <x:c r="K349" s="31" t="str">
        <x:v>按需</x:v>
      </x:c>
      <x:c r="L349" s="31" t="str">
        <x:v>待确认</x:v>
      </x:c>
      <x:c r="M349" s="31" t="str">
        <x:v>参考所属系列前序模块</x:v>
      </x:c>
      <x:c r="N349" s="31" t="str"/>
    </x:row>
    <x:row r="350" ht="42" customHeight="1">
      <x:c r="A350" s="31" t="str">
        <x:v>M8.02</x:v>
      </x:c>
      <x:c r="B350" s="31" t="str">
        <x:v>M</x:v>
      </x:c>
      <x:c r="C350" s="31" t="str">
        <x:v>M8</x:v>
      </x:c>
      <x:c r="D350" s="31" t="str">
        <x:v>电机控制器硬件、功率级与产品化设计</x:v>
      </x:c>
      <x:c r="E350" s="31" t="str">
        <x:v>STM32G474 控制资源、Timer、ADC、DMA、通信与引脚分配</x:v>
      </x:c>
      <x:c r="F350" s="31" t="str">
        <x:v>C｜专项老师主讲，你负责衔接与验收</x:v>
      </x:c>
      <x:c r="G350" s="31" t="str">
        <x:v>专项老师主讲，你负责课程衔接与验收</x:v>
      </x:c>
      <x:c r="H350" s="31" t="str">
        <x:v>需要较强的专项设计或产品化经验，建议由对应专家主讲，课程负责人负责与主线衔接。</x:v>
      </x:c>
      <x:c r="I350" s="31" t="str">
        <x:v>原理图/计算＋板级测试</x:v>
      </x:c>
      <x:c r="J350" s="31" t="str">
        <x:v>讲稿、可运行代码、配置说明、最小测试</x:v>
      </x:c>
      <x:c r="K350" s="31" t="str">
        <x:v>按需</x:v>
      </x:c>
      <x:c r="L350" s="31" t="str">
        <x:v>待确认</x:v>
      </x:c>
      <x:c r="M350" s="31" t="str">
        <x:v>参考所属系列前序模块</x:v>
      </x:c>
      <x:c r="N350" s="31" t="str"/>
    </x:row>
    <x:row r="351" ht="42" customHeight="1">
      <x:c r="A351" s="31" t="str">
        <x:v>M8.03</x:v>
      </x:c>
      <x:c r="B351" s="31" t="str">
        <x:v>M</x:v>
      </x:c>
      <x:c r="C351" s="31" t="str">
        <x:v>M8</x:v>
      </x:c>
      <x:c r="D351" s="31" t="str">
        <x:v>电机控制器硬件、功率级与产品化设计</x:v>
      </x:c>
      <x:c r="E351" s="31" t="str">
        <x:v>母线输入保护、辅助电源与上下电顺序设计</x:v>
      </x:c>
      <x:c r="F351" s="31" t="str">
        <x:v>C｜专项老师主讲，你负责衔接与验收</x:v>
      </x:c>
      <x:c r="G351" s="31" t="str">
        <x:v>专项老师主讲，你负责课程衔接与验收</x:v>
      </x:c>
      <x:c r="H351" s="31" t="str">
        <x:v>需要较强的专项设计或产品化经验，建议由对应专家主讲，课程负责人负责与主线衔接。</x:v>
      </x:c>
      <x:c r="I351" s="31" t="str">
        <x:v>方法讲解＋实测数据＋问题复盘</x:v>
      </x:c>
      <x:c r="J351" s="31" t="str">
        <x:v>讲稿、课件、示例、作业与答案</x:v>
      </x:c>
      <x:c r="K351" s="31" t="str">
        <x:v>按需</x:v>
      </x:c>
      <x:c r="L351" s="31" t="str">
        <x:v>待确认</x:v>
      </x:c>
      <x:c r="M351" s="31" t="str">
        <x:v>参考所属系列前序模块</x:v>
      </x:c>
      <x:c r="N351" s="31" t="str"/>
    </x:row>
    <x:row r="352" ht="42" customHeight="1">
      <x:c r="A352" s="31" t="str">
        <x:v>M8.04</x:v>
      </x:c>
      <x:c r="B352" s="31" t="str">
        <x:v>M</x:v>
      </x:c>
      <x:c r="C352" s="31" t="str">
        <x:v>M8</x:v>
      </x:c>
      <x:c r="D352" s="31" t="str">
        <x:v>电机控制器硬件、功率级与产品化设计</x:v>
      </x:c>
      <x:c r="E352" s="31" t="str">
        <x:v>MOSFET 选型、三相功率桥与损耗/安全裕量计算</x:v>
      </x:c>
      <x:c r="F352" s="31" t="str">
        <x:v>C｜专项老师主讲，你负责衔接与验收</x:v>
      </x:c>
      <x:c r="G352" s="31" t="str">
        <x:v>专项老师主讲，你负责课程衔接与验收</x:v>
      </x:c>
      <x:c r="H352" s="31" t="str">
        <x:v>需要较强的专项设计或产品化经验，建议由对应专家主讲，课程负责人负责与主线衔接。</x:v>
      </x:c>
      <x:c r="I352" s="31" t="str">
        <x:v>原理图/计算＋板级测试</x:v>
      </x:c>
      <x:c r="J352" s="31" t="str">
        <x:v>讲稿、原理图/计算、板级测试记录、检查清单</x:v>
      </x:c>
      <x:c r="K352" s="31" t="str">
        <x:v>按需</x:v>
      </x:c>
      <x:c r="L352" s="31" t="str">
        <x:v>待确认</x:v>
      </x:c>
      <x:c r="M352" s="31" t="str">
        <x:v>参考所属系列前序模块</x:v>
      </x:c>
      <x:c r="N352" s="31" t="str"/>
    </x:row>
    <x:row r="353" ht="42" customHeight="1">
      <x:c r="A353" s="31" t="str">
        <x:v>M8.05</x:v>
      </x:c>
      <x:c r="B353" s="31" t="str">
        <x:v>M</x:v>
      </x:c>
      <x:c r="C353" s="31" t="str">
        <x:v>M8</x:v>
      </x:c>
      <x:c r="D353" s="31" t="str">
        <x:v>电机控制器硬件、功率级与产品化设计</x:v>
      </x:c>
      <x:c r="E353" s="31" t="str">
        <x:v>Gate Driver、Bootstrap、栅极电阻、开关速度与互锁</x:v>
      </x:c>
      <x:c r="F353" s="31" t="str">
        <x:v>C｜专项老师主讲，你负责衔接与验收</x:v>
      </x:c>
      <x:c r="G353" s="31" t="str">
        <x:v>专项老师主讲，你负责课程衔接与验收</x:v>
      </x:c>
      <x:c r="H353" s="31" t="str">
        <x:v>需要较强的专项设计或产品化经验，建议由对应专家主讲，课程负责人负责与主线衔接。</x:v>
      </x:c>
      <x:c r="I353" s="31" t="str">
        <x:v>原理图/计算＋板级测试</x:v>
      </x:c>
      <x:c r="J353" s="31" t="str">
        <x:v>讲稿、原理图/计算、板级测试记录、检查清单</x:v>
      </x:c>
      <x:c r="K353" s="31" t="str">
        <x:v>按需</x:v>
      </x:c>
      <x:c r="L353" s="31" t="str">
        <x:v>待确认</x:v>
      </x:c>
      <x:c r="M353" s="31" t="str">
        <x:v>参考所属系列前序模块</x:v>
      </x:c>
      <x:c r="N353" s="31" t="str"/>
    </x:row>
    <x:row r="354" ht="42" customHeight="1">
      <x:c r="A354" s="31" t="str">
        <x:v>M8.06</x:v>
      </x:c>
      <x:c r="B354" s="31" t="str">
        <x:v>M</x:v>
      </x:c>
      <x:c r="C354" s="31" t="str">
        <x:v>M8</x:v>
      </x:c>
      <x:c r="D354" s="31" t="str">
        <x:v>电机控制器硬件、功率级与产品化设计</x:v>
      </x:c>
      <x:c r="E354" s="31" t="str">
        <x:v>三/双/单分流采样、运放、ADC 量程与触发设计</x:v>
      </x:c>
      <x:c r="F354" s="31" t="str">
        <x:v>C｜专项老师主讲，你负责衔接与验收</x:v>
      </x:c>
      <x:c r="G354" s="31" t="str">
        <x:v>专项老师主讲，你负责课程衔接与验收</x:v>
      </x:c>
      <x:c r="H354" s="31" t="str">
        <x:v>需要较强的专项设计或产品化经验，建议由对应专家主讲，课程负责人负责与主线衔接。</x:v>
      </x:c>
      <x:c r="I354" s="31" t="str">
        <x:v>原理图/计算＋板级测试</x:v>
      </x:c>
      <x:c r="J354" s="31" t="str">
        <x:v>讲稿、课件、示例、作业与答案</x:v>
      </x:c>
      <x:c r="K354" s="31" t="str">
        <x:v>按需</x:v>
      </x:c>
      <x:c r="L354" s="31" t="str">
        <x:v>待确认</x:v>
      </x:c>
      <x:c r="M354" s="31" t="str">
        <x:v>参考所属系列前序模块</x:v>
      </x:c>
      <x:c r="N354" s="31" t="str"/>
    </x:row>
    <x:row r="355" ht="42" customHeight="1">
      <x:c r="A355" s="31" t="str">
        <x:v>M8.07</x:v>
      </x:c>
      <x:c r="B355" s="31" t="str">
        <x:v>M</x:v>
      </x:c>
      <x:c r="C355" s="31" t="str">
        <x:v>M8</x:v>
      </x:c>
      <x:c r="D355" s="31" t="str">
        <x:v>电机控制器硬件、功率级与产品化设计</x:v>
      </x:c>
      <x:c r="E355" s="31" t="str">
        <x:v>母线、温度、编码器与 CAN/CAN FD 接口设计</x:v>
      </x:c>
      <x:c r="F355" s="31" t="str">
        <x:v>C｜专项老师主讲，你负责衔接与验收</x:v>
      </x:c>
      <x:c r="G355" s="31" t="str">
        <x:v>专项老师主讲，你负责课程衔接与验收</x:v>
      </x:c>
      <x:c r="H355" s="31" t="str">
        <x:v>需要较强的专项设计或产品化经验，建议由对应专家主讲，课程负责人负责与主线衔接。</x:v>
      </x:c>
      <x:c r="I355" s="31" t="str">
        <x:v>原理＋代码演示＋最小练习</x:v>
      </x:c>
      <x:c r="J355" s="31" t="str">
        <x:v>讲稿、课件、示例、作业与答案</x:v>
      </x:c>
      <x:c r="K355" s="31" t="str">
        <x:v>按需</x:v>
      </x:c>
      <x:c r="L355" s="31" t="str">
        <x:v>待确认</x:v>
      </x:c>
      <x:c r="M355" s="31" t="str">
        <x:v>参考所属系列前序模块</x:v>
      </x:c>
      <x:c r="N355" s="31" t="str"/>
    </x:row>
    <x:row r="356" ht="42" customHeight="1">
      <x:c r="A356" s="31" t="str">
        <x:v>M8.08</x:v>
      </x:c>
      <x:c r="B356" s="31" t="str">
        <x:v>M</x:v>
      </x:c>
      <x:c r="C356" s="31" t="str">
        <x:v>M8</x:v>
      </x:c>
      <x:c r="D356" s="31" t="str">
        <x:v>电机控制器硬件、功率级与产品化设计</x:v>
      </x:c>
      <x:c r="E356" s="31" t="str">
        <x:v>硬件过流、过压、欠压、过温与 PWM 快速关断</x:v>
      </x:c>
      <x:c r="F356" s="31" t="str">
        <x:v>C｜专项老师主讲，你负责衔接与验收</x:v>
      </x:c>
      <x:c r="G356" s="31" t="str">
        <x:v>专项老师主讲，你负责课程衔接与验收</x:v>
      </x:c>
      <x:c r="H356" s="31" t="str">
        <x:v>需要较强的专项设计或产品化经验，建议由对应专家主讲，课程负责人负责与主线衔接。</x:v>
      </x:c>
      <x:c r="I356" s="31" t="str">
        <x:v>原理图/计算＋板级测试</x:v>
      </x:c>
      <x:c r="J356" s="31" t="str">
        <x:v>讲稿、原理图/计算、板级测试记录、检查清单</x:v>
      </x:c>
      <x:c r="K356" s="31" t="str">
        <x:v>按需</x:v>
      </x:c>
      <x:c r="L356" s="31" t="str">
        <x:v>待确认</x:v>
      </x:c>
      <x:c r="M356" s="31" t="str">
        <x:v>参考所属系列前序模块</x:v>
      </x:c>
      <x:c r="N356" s="31" t="str"/>
    </x:row>
    <x:row r="357" ht="42" customHeight="1">
      <x:c r="A357" s="31" t="str">
        <x:v>M8.09</x:v>
      </x:c>
      <x:c r="B357" s="31" t="str">
        <x:v>M</x:v>
      </x:c>
      <x:c r="C357" s="31" t="str">
        <x:v>M8</x:v>
      </x:c>
      <x:c r="D357" s="31" t="str">
        <x:v>电机控制器硬件、功率级与产品化设计</x:v>
      </x:c>
      <x:c r="E357" s="31" t="str">
        <x:v>功率回路、采样回路、接地、层叠与关键 PCB Layout</x:v>
      </x:c>
      <x:c r="F357" s="31" t="str">
        <x:v>C｜专项老师主讲，你负责衔接与验收</x:v>
      </x:c>
      <x:c r="G357" s="31" t="str">
        <x:v>专项老师主讲，你负责课程衔接与验收</x:v>
      </x:c>
      <x:c r="H357" s="31" t="str">
        <x:v>需要较强的专项设计或产品化经验，建议由对应专家主讲，课程负责人负责与主线衔接。</x:v>
      </x:c>
      <x:c r="I357" s="31" t="str">
        <x:v>原理图/计算＋板级测试</x:v>
      </x:c>
      <x:c r="J357" s="31" t="str">
        <x:v>讲稿、原理图/计算、板级测试记录、检查清单</x:v>
      </x:c>
      <x:c r="K357" s="31" t="str">
        <x:v>按需</x:v>
      </x:c>
      <x:c r="L357" s="31" t="str">
        <x:v>待确认</x:v>
      </x:c>
      <x:c r="M357" s="31" t="str">
        <x:v>参考所属系列前序模块</x:v>
      </x:c>
      <x:c r="N357" s="31" t="str"/>
    </x:row>
    <x:row r="358" ht="42" customHeight="1">
      <x:c r="A358" s="31" t="str">
        <x:v>M8.10</x:v>
      </x:c>
      <x:c r="B358" s="31" t="str">
        <x:v>M</x:v>
      </x:c>
      <x:c r="C358" s="31" t="str">
        <x:v>M8</x:v>
      </x:c>
      <x:c r="D358" s="31" t="str">
        <x:v>电机控制器硬件、功率级与产品化设计</x:v>
      </x:c>
      <x:c r="E358" s="31" t="str">
        <x:v>开关节点、共模/差模干扰与编码器/通信 EMC</x:v>
      </x:c>
      <x:c r="F358" s="31" t="str">
        <x:v>C｜专项老师主讲，你负责衔接与验收</x:v>
      </x:c>
      <x:c r="G358" s="31" t="str">
        <x:v>专项老师主讲，你负责课程衔接与验收</x:v>
      </x:c>
      <x:c r="H358" s="31" t="str">
        <x:v>需要较强的专项设计或产品化经验，建议由对应专家主讲，课程负责人负责与主线衔接。</x:v>
      </x:c>
      <x:c r="I358" s="31" t="str">
        <x:v>原理图/计算＋板级测试</x:v>
      </x:c>
      <x:c r="J358" s="31" t="str">
        <x:v>讲稿、原理图/计算、板级测试记录、检查清单</x:v>
      </x:c>
      <x:c r="K358" s="31" t="str">
        <x:v>按需</x:v>
      </x:c>
      <x:c r="L358" s="31" t="str">
        <x:v>待确认</x:v>
      </x:c>
      <x:c r="M358" s="31" t="str">
        <x:v>参考所属系列前序模块</x:v>
      </x:c>
      <x:c r="N358" s="31" t="str"/>
    </x:row>
    <x:row r="359" ht="42" customHeight="1">
      <x:c r="A359" s="31" t="str">
        <x:v>M8.11</x:v>
      </x:c>
      <x:c r="B359" s="31" t="str">
        <x:v>M</x:v>
      </x:c>
      <x:c r="C359" s="31" t="str">
        <x:v>M8</x:v>
      </x:c>
      <x:c r="D359" s="31" t="str">
        <x:v>电机控制器硬件、功率级与产品化设计</x:v>
      </x:c>
      <x:c r="E359" s="31" t="str">
        <x:v>MOSFET、PCB、壳体、散热与连接器热/机械设计</x:v>
      </x:c>
      <x:c r="F359" s="31" t="str">
        <x:v>C｜专项老师主讲，你负责衔接与验收</x:v>
      </x:c>
      <x:c r="G359" s="31" t="str">
        <x:v>专项老师主讲，你负责课程衔接与验收</x:v>
      </x:c>
      <x:c r="H359" s="31" t="str">
        <x:v>需要较强的专项设计或产品化经验，建议由对应专家主讲，课程负责人负责与主线衔接。</x:v>
      </x:c>
      <x:c r="I359" s="31" t="str">
        <x:v>原理图/计算＋板级测试</x:v>
      </x:c>
      <x:c r="J359" s="31" t="str">
        <x:v>讲稿、原理图/计算、板级测试记录、检查清单</x:v>
      </x:c>
      <x:c r="K359" s="31" t="str">
        <x:v>按需</x:v>
      </x:c>
      <x:c r="L359" s="31" t="str">
        <x:v>待确认</x:v>
      </x:c>
      <x:c r="M359" s="31" t="str">
        <x:v>参考所属系列前序模块</x:v>
      </x:c>
      <x:c r="N359" s="31" t="str"/>
    </x:row>
    <x:row r="360" ht="42" customHeight="1">
      <x:c r="A360" s="31" t="str">
        <x:v>M8.12</x:v>
      </x:c>
      <x:c r="B360" s="31" t="str">
        <x:v>M</x:v>
      </x:c>
      <x:c r="C360" s="31" t="str">
        <x:v>M8</x:v>
      </x:c>
      <x:c r="D360" s="31" t="str">
        <x:v>电机控制器硬件、功率级与产品化设计</x:v>
      </x:c>
      <x:c r="E360" s="31" t="str">
        <x:v>原理图审查、PCB Review、BOM 与设计资料输出</x:v>
      </x:c>
      <x:c r="F360" s="31" t="str">
        <x:v>C｜专项老师主讲，你负责衔接与验收</x:v>
      </x:c>
      <x:c r="G360" s="31" t="str">
        <x:v>专项老师主讲，你负责课程衔接与验收</x:v>
      </x:c>
      <x:c r="H360" s="31" t="str">
        <x:v>需要较强的专项设计或产品化经验，建议由对应专家主讲，课程负责人负责与主线衔接。</x:v>
      </x:c>
      <x:c r="I360" s="31" t="str">
        <x:v>原理图/计算＋板级测试</x:v>
      </x:c>
      <x:c r="J360" s="31" t="str">
        <x:v>讲稿、原理图/计算、板级测试记录、检查清单</x:v>
      </x:c>
      <x:c r="K360" s="31" t="str">
        <x:v>按需</x:v>
      </x:c>
      <x:c r="L360" s="31" t="str">
        <x:v>待确认</x:v>
      </x:c>
      <x:c r="M360" s="31" t="str">
        <x:v>参考所属系列前序模块</x:v>
      </x:c>
      <x:c r="N360" s="31" t="str"/>
    </x:row>
    <x:row r="361" ht="42" customHeight="1">
      <x:c r="A361" s="31" t="str">
        <x:v>M8.13</x:v>
      </x:c>
      <x:c r="B361" s="31" t="str">
        <x:v>M</x:v>
      </x:c>
      <x:c r="C361" s="31" t="str">
        <x:v>M8</x:v>
      </x:c>
      <x:c r="D361" s="31" t="str">
        <x:v>电机控制器硬件、功率级与产品化设计</x:v>
      </x:c>
      <x:c r="E361" s="31" t="str">
        <x:v>空板、辅助电源、Gate Driver 与低压功率级分阶段调试</x:v>
      </x:c>
      <x:c r="F361" s="31" t="str">
        <x:v>C｜专项老师主讲，你负责衔接与验收</x:v>
      </x:c>
      <x:c r="G361" s="31" t="str">
        <x:v>专项老师主讲，你负责课程衔接与验收</x:v>
      </x:c>
      <x:c r="H361" s="31" t="str">
        <x:v>需要较强的专项设计或产品化经验，建议由对应专家主讲，课程负责人负责与主线衔接。</x:v>
      </x:c>
      <x:c r="I361" s="31" t="str">
        <x:v>方法讲解＋实测数据＋问题复盘</x:v>
      </x:c>
      <x:c r="J361" s="31" t="str">
        <x:v>讲稿、实验步骤、原始数据、处理脚本、结果说明</x:v>
      </x:c>
      <x:c r="K361" s="31" t="str">
        <x:v>按需</x:v>
      </x:c>
      <x:c r="L361" s="31" t="str">
        <x:v>待确认</x:v>
      </x:c>
      <x:c r="M361" s="31" t="str">
        <x:v>参考所属系列前序模块</x:v>
      </x:c>
      <x:c r="N361" s="31" t="str"/>
    </x:row>
    <x:row r="362" ht="42" customHeight="1">
      <x:c r="A362" s="31" t="str">
        <x:v>M8.14</x:v>
      </x:c>
      <x:c r="B362" s="31" t="str">
        <x:v>M</x:v>
      </x:c>
      <x:c r="C362" s="31" t="str">
        <x:v>M8</x:v>
      </x:c>
      <x:c r="D362" s="31" t="str">
        <x:v>电机控制器硬件、功率级与产品化设计</x:v>
      </x:c>
      <x:c r="E362" s="31" t="str">
        <x:v>PWM、采样、保护、电机开环和闭环板级调试</x:v>
      </x:c>
      <x:c r="F362" s="31" t="str">
        <x:v>C｜专项老师主讲，你负责衔接与验收</x:v>
      </x:c>
      <x:c r="G362" s="31" t="str">
        <x:v>专项老师主讲，你负责课程衔接与验收</x:v>
      </x:c>
      <x:c r="H362" s="31" t="str">
        <x:v>需要较强的专项设计或产品化经验，建议由对应专家主讲，课程负责人负责与主线衔接。</x:v>
      </x:c>
      <x:c r="I362" s="31" t="str">
        <x:v>方法讲解＋实测数据＋问题复盘</x:v>
      </x:c>
      <x:c r="J362" s="31" t="str">
        <x:v>讲稿、实验步骤、原始数据、处理脚本、结果说明</x:v>
      </x:c>
      <x:c r="K362" s="31" t="str">
        <x:v>按需</x:v>
      </x:c>
      <x:c r="L362" s="31" t="str">
        <x:v>待确认</x:v>
      </x:c>
      <x:c r="M362" s="31" t="str">
        <x:v>参考所属系列前序模块</x:v>
      </x:c>
      <x:c r="N362" s="31" t="str"/>
    </x:row>
    <x:row r="363" ht="42" customHeight="1">
      <x:c r="A363" s="31" t="str">
        <x:v>M8.15</x:v>
      </x:c>
      <x:c r="B363" s="31" t="str">
        <x:v>M</x:v>
      </x:c>
      <x:c r="C363" s="31" t="str">
        <x:v>M8</x:v>
      </x:c>
      <x:c r="D363" s="31" t="str">
        <x:v>电机控制器硬件、功率级与产品化设计</x:v>
      </x:c>
      <x:c r="E363" s="31" t="str">
        <x:v>电气性能、开关尖峰、温升、极限和故障注入测试</x:v>
      </x:c>
      <x:c r="F363" s="31" t="str">
        <x:v>C｜专项老师主讲，你负责衔接与验收</x:v>
      </x:c>
      <x:c r="G363" s="31" t="str">
        <x:v>专项老师主讲，你负责课程衔接与验收</x:v>
      </x:c>
      <x:c r="H363" s="31" t="str">
        <x:v>需要较强的专项设计或产品化经验，建议由对应专家主讲，课程负责人负责与主线衔接。</x:v>
      </x:c>
      <x:c r="I363" s="31" t="str">
        <x:v>方法讲解＋实测数据＋问题复盘</x:v>
      </x:c>
      <x:c r="J363" s="31" t="str">
        <x:v>讲稿、实验步骤、原始数据、处理脚本、结果说明</x:v>
      </x:c>
      <x:c r="K363" s="31" t="str">
        <x:v>按需</x:v>
      </x:c>
      <x:c r="L363" s="31" t="str">
        <x:v>待确认</x:v>
      </x:c>
      <x:c r="M363" s="31" t="str">
        <x:v>参考所属系列前序模块</x:v>
      </x:c>
      <x:c r="N363" s="31" t="str"/>
    </x:row>
    <x:row r="364" ht="42" customHeight="1">
      <x:c r="A364" s="31" t="str">
        <x:v>M8.16</x:v>
      </x:c>
      <x:c r="B364" s="31" t="str">
        <x:v>M</x:v>
      </x:c>
      <x:c r="C364" s="31" t="str">
        <x:v>M8</x:v>
      </x:c>
      <x:c r="D364" s="31" t="str">
        <x:v>电机控制器硬件、功率级与产品化设计</x:v>
      </x:c>
      <x:c r="E364" s="31" t="str">
        <x:v>DFM、DFT、校准工装与量产测试</x:v>
      </x:c>
      <x:c r="F364" s="31" t="str">
        <x:v>C｜专项老师主讲，你负责衔接与验收</x:v>
      </x:c>
      <x:c r="G364" s="31" t="str">
        <x:v>专项老师主讲，你负责课程衔接与验收</x:v>
      </x:c>
      <x:c r="H364" s="31" t="str">
        <x:v>需要较强的专项设计或产品化经验，建议由对应专家主讲，课程负责人负责与主线衔接。</x:v>
      </x:c>
      <x:c r="I364" s="31" t="str">
        <x:v>方法讲解＋实测数据＋问题复盘</x:v>
      </x:c>
      <x:c r="J364" s="31" t="str">
        <x:v>讲稿、实验步骤、原始数据、处理脚本、结果说明</x:v>
      </x:c>
      <x:c r="K364" s="31" t="str">
        <x:v>按需</x:v>
      </x:c>
      <x:c r="L364" s="31" t="str">
        <x:v>待确认</x:v>
      </x:c>
      <x:c r="M364" s="31" t="str">
        <x:v>参考所属系列前序模块</x:v>
      </x:c>
      <x:c r="N364" s="31" t="str"/>
    </x:row>
    <x:row r="365" ht="42" customHeight="1">
      <x:c r="A365" s="31" t="str">
        <x:v>M8.17</x:v>
      </x:c>
      <x:c r="B365" s="31" t="str">
        <x:v>M</x:v>
      </x:c>
      <x:c r="C365" s="31" t="str">
        <x:v>M8</x:v>
      </x:c>
      <x:c r="D365" s="31" t="str">
        <x:v>电机控制器硬件、功率级与产品化设计</x:v>
      </x:c>
      <x:c r="E365" s="31" t="str">
        <x:v>器件降额、寿命、环境与样机一致性验证</x:v>
      </x:c>
      <x:c r="F365" s="31" t="str">
        <x:v>C｜专项老师主讲，你负责衔接与验收</x:v>
      </x:c>
      <x:c r="G365" s="31" t="str">
        <x:v>专项老师主讲，你负责课程衔接与验收</x:v>
      </x:c>
      <x:c r="H365" s="31" t="str">
        <x:v>需要较强的专项设计或产品化经验，建议由对应专家主讲，课程负责人负责与主线衔接。</x:v>
      </x:c>
      <x:c r="I365" s="31" t="str">
        <x:v>原理讲解＋工程案例＋检查题</x:v>
      </x:c>
      <x:c r="J365" s="31" t="str">
        <x:v>讲稿、课件、示例、作业与答案</x:v>
      </x:c>
      <x:c r="K365" s="31" t="str">
        <x:v>按需</x:v>
      </x:c>
      <x:c r="L365" s="31" t="str">
        <x:v>待确认</x:v>
      </x:c>
      <x:c r="M365" s="31" t="str">
        <x:v>参考所属系列前序模块</x:v>
      </x:c>
      <x:c r="N365" s="31" t="str"/>
    </x:row>
    <x:row r="366" ht="42" customHeight="1">
      <x:c r="A366" s="31" t="str">
        <x:v>M8.18</x:v>
      </x:c>
      <x:c r="B366" s="31" t="str">
        <x:v>M</x:v>
      </x:c>
      <x:c r="C366" s="31" t="str">
        <x:v>M8</x:v>
      </x:c>
      <x:c r="D366" s="31" t="str">
        <x:v>电机控制器硬件、功率级与产品化设计</x:v>
      </x:c>
      <x:c r="E366" s="31" t="str">
        <x:v>板卡配置、硬件能力与软件使用规则</x:v>
      </x:c>
      <x:c r="F366" s="31" t="str">
        <x:v>C｜专项老师主讲，你负责衔接与验收</x:v>
      </x:c>
      <x:c r="G366" s="31" t="str">
        <x:v>专项老师主讲，你负责课程衔接与验收</x:v>
      </x:c>
      <x:c r="H366" s="31" t="str">
        <x:v>需要较强的专项设计或产品化经验，建议由对应专家主讲，课程负责人负责与主线衔接。</x:v>
      </x:c>
      <x:c r="I366" s="31" t="str">
        <x:v>原理图/计算＋板级测试</x:v>
      </x:c>
      <x:c r="J366" s="31" t="str">
        <x:v>讲稿、原理图/计算、板级测试记录、检查清单</x:v>
      </x:c>
      <x:c r="K366" s="31" t="str">
        <x:v>按需</x:v>
      </x:c>
      <x:c r="L366" s="31" t="str">
        <x:v>待确认</x:v>
      </x:c>
      <x:c r="M366" s="31" t="str">
        <x:v>参考所属系列前序模块</x:v>
      </x:c>
      <x:c r="N366" s="31" t="str"/>
    </x:row>
    <x:row r="367" ht="42" customHeight="1">
      <x:c r="A367" s="31" t="str">
        <x:v>M8.19</x:v>
      </x:c>
      <x:c r="B367" s="31" t="str">
        <x:v>M</x:v>
      </x:c>
      <x:c r="C367" s="31" t="str">
        <x:v>M8</x:v>
      </x:c>
      <x:c r="D367" s="31" t="str">
        <x:v>电机控制器硬件、功率级与产品化设计</x:v>
      </x:c>
      <x:c r="E367" s="31" t="str">
        <x:v>设计计算、仿真、测试报告与硬件版本发布</x:v>
      </x:c>
      <x:c r="F367" s="31" t="str">
        <x:v>C｜专项老师主讲，你负责衔接与验收</x:v>
      </x:c>
      <x:c r="G367" s="31" t="str">
        <x:v>专项老师主讲，你负责课程衔接与验收</x:v>
      </x:c>
      <x:c r="H367" s="31" t="str">
        <x:v>需要较强的专项设计或产品化经验，建议由对应专家主讲，课程负责人负责与主线衔接。</x:v>
      </x:c>
      <x:c r="I367" s="31" t="str">
        <x:v>方法讲解＋实测数据＋问题复盘</x:v>
      </x:c>
      <x:c r="J367" s="31" t="str">
        <x:v>讲稿、实验步骤、原始数据、处理脚本、结果说明</x:v>
      </x:c>
      <x:c r="K367" s="31" t="str">
        <x:v>按需</x:v>
      </x:c>
      <x:c r="L367" s="31" t="str">
        <x:v>待确认</x:v>
      </x:c>
      <x:c r="M367" s="31" t="str">
        <x:v>参考所属系列前序模块</x:v>
      </x:c>
      <x:c r="N367" s="31" t="str"/>
    </x:row>
  </x:sheetData>
  <x:conditionalFormatting sqref="F2:F367">
    <x:cfRule type="containsText" dxfId="0" priority="1" operator="containsText" text="A｜"/>
    <x:cfRule type="containsText" dxfId="1" priority="2" operator="containsText" text="B｜"/>
    <x:cfRule type="containsText" dxfId="2" priority="3" operator="containsText" text="C｜"/>
    <x:cfRule type="containsText" dxfId="3" priority="4" operator="containsText" text="D｜"/>
  </x:conditionalFormatting>
  <x:conditionalFormatting sqref="K2:K367">
    <x:cfRule type="containsText" dxfId="4" priority="5" operator="containsText" text="核心"/>
  </x:conditionalFormatting>
  <x:dataValidations count="4">
    <x:dataValidation type="list" sqref="F2:F367">
      <x:formula1>"A｜建议你主讲,B｜你主讲，专项老师补充,C｜专项老师主讲，你负责衔接与验收,D｜助教/AI整理初稿，你审核"</x:formula1>
    </x:dataValidation>
    <x:dataValidation type="list" sqref="G2:G367">
      <x:formula1>"你主讲,你主讲，专项老师补充,专项老师主讲，你负责课程衔接与验收,助教/AI整理初稿，你审核"</x:formula1>
    </x:dataValidation>
    <x:dataValidation type="list" sqref="K2:K367">
      <x:formula1>"核心,重要,按需"</x:formula1>
    </x:dataValidation>
    <x:dataValidation type="list" sqref="L2:L367">
      <x:formula1>"待确认,已有资料,开发中,待评审,已验证,暂缓"</x:formula1>
    </x:dataValidation>
  </x:dataValidations>
  <x:pageMargins left="0.7" right="0.7" top="0.75" bottom="0.75" header="0.3" footer="0.3"/>
  <x:tableParts count="1">
    <x:tablePart xmlns:r="http://schemas.openxmlformats.org/officeDocument/2006/relationships" r:id="R70424769a35e41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6299991607666" hidden="0" customWidth="1"/>
    <x:col min="2" max="2" width="36.25" hidden="0" customWidth="1"/>
    <x:col min="3" max="3" width="45" hidden="0" customWidth="1"/>
    <x:col min="4" max="4" width="45" hidden="0" customWidth="1"/>
  </x:cols>
  <x:sheetData>
    <x:row r="1" ht="31.5" customHeight="1">
      <x:c r="A1" t="str">
        <x:v>填写说明与分工判断</x:v>
      </x:c>
    </x:row>
    <x:row r="3">
      <x:c r="A3" s="12" t="str">
        <x:v>责任层级</x:v>
      </x:c>
      <x:c r="B3" s="12" t="str">
        <x:v>建议负责人</x:v>
      </x:c>
      <x:c r="C3" s="12" t="str">
        <x:v>什么内容放在这里</x:v>
      </x:c>
      <x:c r="D3" s="12" t="str">
        <x:v>确认时需要检查</x:v>
      </x:c>
    </x:row>
    <x:row r="4" ht="40.5" customHeight="1">
      <x:c r="A4" s="34" t="str">
        <x:v>A｜建议你主讲</x:v>
      </x:c>
      <x:c r="B4" s="34" t="str">
        <x:v>你主讲</x:v>
      </x:c>
      <x:c r="C4" s="34" t="str">
        <x:v>课程总体方法、核心工程链路、真实项目决策、调试和问题定位。</x:v>
      </x:c>
      <x:c r="D4" s="34" t="str">
        <x:v>能否讲出真实参数、代码、波形、失败过程和最终结果</x:v>
      </x:c>
    </x:row>
    <x:row r="5" ht="40.5" customHeight="1">
      <x:c r="A5" s="34" t="str">
        <x:v>B｜你主讲，专项老师补充</x:v>
      </x:c>
      <x:c r="B5" s="34" t="str">
        <x:v>你主讲，专项老师补充</x:v>
      </x:c>
      <x:c r="C5" s="34" t="str">
        <x:v>无感、性能优化、科研等核心专项，需要统一主线，也需要细分方向经验。</x:v>
      </x:c>
      <x:c r="D5" s="34" t="str">
        <x:v>双方分工、实机证据、算法边界和课程衔接</x:v>
      </x:c>
    </x:row>
    <x:row r="6" ht="40.5" customHeight="1">
      <x:c r="A6" s="34" t="str">
        <x:v>C｜专项老师主讲，你负责衔接与验收</x:v>
      </x:c>
      <x:c r="B6" s="34" t="str">
        <x:v>专项老师主讲，你负责课程衔接与验收</x:v>
      </x:c>
      <x:c r="C6" s="34" t="str">
        <x:v>MBD、硬件产品化、EMC、热、量产等专项经验要求较高的内容。</x:v>
      </x:c>
      <x:c r="D6" s="34" t="str">
        <x:v>专家是否真正做过对应项目，交付物能否进入统一工程</x:v>
      </x:c>
    </x:row>
    <x:row r="7" ht="40.5" customHeight="1">
      <x:c r="A7" s="34" t="str">
        <x:v>D｜助教/AI整理初稿，你审核</x:v>
      </x:c>
      <x:c r="B7" s="34" t="str">
        <x:v>助教/AI整理初稿，你审核</x:v>
      </x:c>
      <x:c r="C7" s="34" t="str">
        <x:v>开发工具、资料管理、基础语法和标准化练习。</x:v>
      </x:c>
      <x:c r="D7" s="34" t="str">
        <x:v>版本、口径、示例、练习和答案是否正确</x:v>
      </x:c>
    </x:row>
    <x:row r="9">
      <x:c r="A9" s="12" t="str">
        <x:v>字段</x:v>
      </x:c>
      <x:c r="B9" s="12" t="str">
        <x:v>谁填写</x:v>
      </x:c>
      <x:c r="C9" s="12" t="str">
        <x:v>何时填写</x:v>
      </x:c>
      <x:c r="D9" s="12" t="str">
        <x:v>说明</x:v>
      </x:c>
    </x:row>
    <x:row r="10" ht="31.5" customHeight="1">
      <x:c r="A10" s="34" t="str">
        <x:v>建议责任层级</x:v>
      </x:c>
      <x:c r="B10" s="34" t="str">
        <x:v>课程总负责人</x:v>
      </x:c>
      <x:c r="C10" s="34" t="str">
        <x:v>第一次目录评审</x:v>
      </x:c>
      <x:c r="D10" s="34" t="str">
        <x:v>先判断是否必须依赖你的项目经验</x:v>
      </x:c>
    </x:row>
    <x:row r="11" ht="31.5" customHeight="1">
      <x:c r="A11" s="34" t="str">
        <x:v>建议负责人</x:v>
      </x:c>
      <x:c r="B11" s="34" t="str">
        <x:v>课程总负责人</x:v>
      </x:c>
      <x:c r="C11" s="34" t="str">
        <x:v>确定合作老师前</x:v>
      </x:c>
      <x:c r="D11" s="34" t="str">
        <x:v>可以改成具体姓名或团队</x:v>
      </x:c>
    </x:row>
    <x:row r="12" ht="31.5" customHeight="1">
      <x:c r="A12" s="34" t="str">
        <x:v>判断依据</x:v>
      </x:c>
      <x:c r="B12" s="34" t="str">
        <x:v>课程总负责人/技术评审</x:v>
      </x:c>
      <x:c r="C12" s="34" t="str">
        <x:v>分工时</x:v>
      </x:c>
      <x:c r="D12" s="34" t="str">
        <x:v>写清为什么由该角色承担</x:v>
      </x:c>
    </x:row>
    <x:row r="13" ht="31.5" customHeight="1">
      <x:c r="A13" s="34" t="str">
        <x:v>开发优先级</x:v>
      </x:c>
      <x:c r="B13" s="34" t="str">
        <x:v>课程总负责人</x:v>
      </x:c>
      <x:c r="C13" s="34" t="str">
        <x:v>排期前</x:v>
      </x:c>
      <x:c r="D13" s="34" t="str">
        <x:v>核心主线优先，按需专项不承诺统一上线时间</x:v>
      </x:c>
    </x:row>
    <x:row r="14" ht="31.5" customHeight="1">
      <x:c r="A14" s="34" t="str">
        <x:v>当前状态</x:v>
      </x:c>
      <x:c r="B14" s="34" t="str">
        <x:v>实际负责人</x:v>
      </x:c>
      <x:c r="C14" s="34" t="str">
        <x:v>持续更新</x:v>
      </x:c>
      <x:c r="D14" s="34" t="str">
        <x:v>用状态筛选本期需要推进的内容</x:v>
      </x:c>
    </x:row>
    <x:row r="15" ht="31.5" customHeight="1">
      <x:c r="A15" s="34" t="str">
        <x:v>备注</x:v>
      </x:c>
      <x:c r="B15" s="34" t="str">
        <x:v>相关人员</x:v>
      </x:c>
      <x:c r="C15" s="34" t="str">
        <x:v>随时</x:v>
      </x:c>
      <x:c r="D15" s="34" t="str">
        <x:v>记录资料缺口、依赖、合作人和未决问题</x:v>
      </x:c>
    </x:row>
    <x:row r="17" ht="39" customHeight="1">
      <x:c r="A17" s="21" t="str">
        <x:v>判断一名老师能否主讲时，至少核对四件事：是否做过完整项目，是否能提供可运行代码或模型，是否有真实测试数据，是否能把失败、限制和工程取舍讲清楚。</x:v>
      </x:c>
      <x:c r="B17" s="21"/>
      <x:c r="C17" s="21"/>
      <x:c r="D17" s="21"/>
    </x:row>
  </x:sheetData>
  <x:mergeCells>
    <x:mergeCell ref="A1:D1"/>
    <x:mergeCell ref="A17:D17"/>
  </x:mergeCells>
  <x:pageMargins left="0.7" right="0.7" top="0.75" bottom="0.75" header="0.3" footer="0.3"/>
</x:worksheet>
</file>